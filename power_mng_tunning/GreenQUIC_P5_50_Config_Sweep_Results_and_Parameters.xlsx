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31cfdc3e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18ccd610384785"/>
    <x:sheet xmlns:r="http://schemas.openxmlformats.org/officeDocument/2006/relationships" name="50 Tests" sheetId="2" r:id="R542ad4318583486f"/>
    <x:sheet xmlns:r="http://schemas.openxmlformats.org/officeDocument/2006/relationships" name="Focused Tests" sheetId="3" r:id="R8e1132bb404e4954"/>
    <x:sheet xmlns:r="http://schemas.openxmlformats.org/officeDocument/2006/relationships" name="Full Power Config" sheetId="4" r:id="Rf6d04ac476d3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1508300b7447d" /><Relationship Type="http://schemas.openxmlformats.org/officeDocument/2006/relationships/theme" Target="/xl/theme/theme1.xml" Id="R564d54fdbc0c4d0f" /><Relationship Type="http://schemas.openxmlformats.org/officeDocument/2006/relationships/sharedStrings" Target="/xl/sharedStrings.xml" Id="Rc9c7da9577ad43cf" /><Relationship Type="http://schemas.openxmlformats.org/officeDocument/2006/relationships/worksheet" Target="/xl/worksheets/sheet1.xml" Id="R3c18ccd610384785" /><Relationship Type="http://schemas.openxmlformats.org/officeDocument/2006/relationships/worksheet" Target="/xl/worksheets/sheet2.xml" Id="R542ad4318583486f" /><Relationship Type="http://schemas.openxmlformats.org/officeDocument/2006/relationships/worksheet" Target="/xl/worksheets/sheet3.xml" Id="R8e1132bb404e4954" /><Relationship Type="http://schemas.openxmlformats.org/officeDocument/2006/relationships/worksheet" Target="/xl/worksheets/sheet4.xml" Id="Rf6d04ac476d346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6" hidden="0" customWidth="1"/>
    <x:col min="3" max="3" width="14" hidden="0" customWidth="1"/>
    <x:col min="4" max="4" width="12" hidden="0" customWidth="1"/>
    <x:col min="5" max="5" width="11" hidden="0" customWidth="1"/>
    <x:col min="6" max="6" width="18" hidden="0" customWidth="1"/>
  </x:cols>
  <x:sheetData>
    <x:row r="1" ht="28" customHeight="1">
      <x:c r="A1" s="5" t="str">
        <x:v>GreenQUIC P5 Power-Management Tuning — Final Reviewed Record</x:v>
      </x:c>
      <x:c r="B1" s="5"/>
      <x:c r="C1" s="5"/>
      <x:c r="D1" s="5"/>
      <x:c r="E1" s="5"/>
      <x:c r="F1" s="5"/>
    </x:row>
    <x:row r="3" ht="15" hidden="0" customHeight="1">
      <x:c r="A3" s="18" t="str">
        <x:v>Experiment</x:v>
      </x:c>
      <x:c r="B3" s="19" t="str">
        <x:v>P5 repeated 8-GiB downloads; OFF + BASIC + PLUS focused runs</x:v>
      </x:c>
    </x:row>
    <x:row r="4" ht="26.399999618530273" hidden="0" customHeight="1">
      <x:c r="A4" s="18" t="str">
        <x:v>Sweep design</x:v>
      </x:c>
      <x:c r="B4" s="19" t="str">
        <x:v>50 PLUS configurations; 5 independent runs/config; 5 downloads/run; 5-s gaps</x:v>
      </x:c>
    </x:row>
    <x:row r="5" ht="15" hidden="0" customHeight="1">
      <x:c r="A5" s="18" t="str">
        <x:v>Focused design</x:v>
      </x:c>
      <x:c r="B5" s="19" t="str">
        <x:v>T29, T41, TOP3: 6 runs × 5 downloads, OFF + BASIC + PLUS</x:v>
      </x:c>
    </x:row>
    <x:row r="6" ht="15" hidden="0" customHeight="1">
      <x:c r="A6" s="18" t="str">
        <x:v>Linux baseline</x:v>
      </x:c>
      <x:c r="B6" s="19" t="str">
        <x:v>P7 paper profile: 6 runs × 5 downloads</x:v>
      </x:c>
    </x:row>
    <x:row r="7" ht="15" hidden="0" customHeight="1">
      <x:c r="A7" s="18" t="str">
        <x:v>Branch</x:v>
      </x:c>
      <x:c r="B7" s="19" t="str">
        <x:v>performance2/p5-multicore</x:v>
      </x:c>
    </x:row>
    <x:row r="8" ht="60" hidden="0" customHeight="1">
      <x:c r="A8" s="18" t="str">
        <x:v>Validity note</x:v>
      </x:c>
      <x:c r="B8" s="19" t="str">
        <x:v>T25, T27, T31, T38, T40, T42, T44, T45, T47 are incomplete (rc=141 post-run SIGPIPE/bundling path); do not rank them.</x:v>
      </x:c>
    </x:row>
    <x:row r="10">
      <x:c r="A10" s="32" t="str">
        <x:v>Test</x:v>
      </x:c>
      <x:c r="B10" s="32" t="str">
        <x:v>Configuration</x:v>
      </x:c>
      <x:c r="C10" s="32" t="str">
        <x:v>Mean Gb/s</x:v>
      </x:c>
      <x:c r="D10" s="32" t="str">
        <x:v>SD</x:v>
      </x:c>
      <x:c r="E10" s="32" t="str">
        <x:v>CV %</x:v>
      </x:c>
      <x:c r="F10" s="32" t="str">
        <x:v>Δ vs baseline %</x:v>
      </x:c>
    </x:row>
    <x:row r="11">
      <x:c r="A11" s="15" t="str">
        <x:v>T01</x:v>
      </x:c>
      <x:c r="B11" s="15" t="str">
        <x:v>baseline</x:v>
      </x:c>
      <x:c r="C11" s="33" t="n">
        <x:v>9.9981</x:v>
      </x:c>
      <x:c r="D11" s="33" t="n">
        <x:v>0.1448</x:v>
      </x:c>
      <x:c r="E11" s="34" t="n">
        <x:v>1.45</x:v>
      </x:c>
      <x:c r="F11" s="34" t="n">
        <x:v>0</x:v>
      </x:c>
    </x:row>
    <x:row r="12">
      <x:c r="A12" s="15" t="str">
        <x:v>T29</x:v>
      </x:c>
      <x:c r="B12" s="15" t="str">
        <x:v>rxQueueHigh48</x:v>
      </x:c>
      <x:c r="C12" s="33" t="n">
        <x:v>10.273</x:v>
      </x:c>
      <x:c r="D12" s="33" t="n">
        <x:v>0.1473</x:v>
      </x:c>
      <x:c r="E12" s="34" t="n">
        <x:v>1.43</x:v>
      </x:c>
      <x:c r="F12" s="34" t="n">
        <x:v>2.749522409257747</x:v>
      </x:c>
    </x:row>
    <x:row r="13">
      <x:c r="A13" s="15" t="str">
        <x:v>T41</x:v>
      </x:c>
      <x:c r="B13" s="15" t="str">
        <x:v>activeSleep16</x:v>
      </x:c>
      <x:c r="C13" s="33" t="n">
        <x:v>10.272</x:v>
      </x:c>
      <x:c r="D13" s="33" t="n">
        <x:v>0.0718</x:v>
      </x:c>
      <x:c r="E13" s="34" t="n">
        <x:v>0.7</x:v>
      </x:c>
      <x:c r="F13" s="34" t="n">
        <x:v>2.7395205088966836</x:v>
      </x:c>
    </x:row>
    <x:row r="14">
      <x:c r="A14" s="15" t="str">
        <x:v>T07</x:v>
      </x:c>
      <x:c r="B14" s="15" t="str">
        <x:v>up450</x:v>
      </x:c>
      <x:c r="C14" s="33" t="n">
        <x:v>10.2546</x:v>
      </x:c>
      <x:c r="D14" s="33" t="n">
        <x:v>0.0886</x:v>
      </x:c>
      <x:c r="E14" s="34" t="n">
        <x:v>0.86</x:v>
      </x:c>
      <x:c r="F14" s="34" t="n">
        <x:v>2.5654874426140872</x:v>
      </x:c>
    </x:row>
    <x:row r="15">
      <x:c r="A15" s="15" t="str">
        <x:v>T50</x:v>
      </x:c>
      <x:c r="B15" s="15" t="str">
        <x:v>allAggressive</x:v>
      </x:c>
      <x:c r="C15" s="33" t="n">
        <x:v>10.2278</x:v>
      </x:c>
      <x:c r="D15" s="33" t="n">
        <x:v>0.1223</x:v>
      </x:c>
      <x:c r="E15" s="34" t="n">
        <x:v>1.2</x:v>
      </x:c>
      <x:c r="F15" s="34" t="n">
        <x:v>2.2974365129374514</x:v>
      </x:c>
    </x:row>
    <x:row r="16">
      <x:c r="A16" s="15" t="str">
        <x:v>T18</x:v>
      </x:c>
      <x:c r="B16" s="15" t="str">
        <x:v>downPeriod20000</x:v>
      </x:c>
      <x:c r="C16" s="33" t="n">
        <x:v>10.2218</x:v>
      </x:c>
      <x:c r="D16" s="33" t="n">
        <x:v>0.1949</x:v>
      </x:c>
      <x:c r="E16" s="34" t="n">
        <x:v>1.91</x:v>
      </x:c>
      <x:c r="F16" s="34" t="n">
        <x:v>2.2374251107710377</x:v>
      </x:c>
    </x:row>
    <x:row r="17">
      <x:c r="A17" s="15" t="str">
        <x:v>T06</x:v>
      </x:c>
      <x:c r="B17" s="15" t="str">
        <x:v>up500</x:v>
      </x:c>
      <x:c r="C17" s="33" t="n">
        <x:v>10.2052</x:v>
      </x:c>
      <x:c r="D17" s="33" t="n">
        <x:v>0.139</x:v>
      </x:c>
      <x:c r="E17" s="34" t="n">
        <x:v>1.36</x:v>
      </x:c>
      <x:c r="F17" s="34" t="n">
        <x:v>2.0713935647772947</x:v>
      </x:c>
    </x:row>
    <x:row r="18">
      <x:c r="A18" s="15" t="str">
        <x:v>T49</x:v>
      </x:c>
      <x:c r="B18" s="15" t="str">
        <x:v>strongBacklogIdle</x:v>
      </x:c>
      <x:c r="C18" s="33" t="n">
        <x:v>10.2035</x:v>
      </x:c>
      <x:c r="D18" s="33" t="n">
        <x:v>0.08</x:v>
      </x:c>
      <x:c r="E18" s="34" t="n">
        <x:v>0.78</x:v>
      </x:c>
      <x:c r="F18" s="34" t="n">
        <x:v>2.0543903341634824</x:v>
      </x:c>
    </x:row>
    <x:row r="19">
      <x:c r="A19" s="15" t="str">
        <x:v>T30</x:v>
      </x:c>
      <x:c r="B19" s="15" t="str">
        <x:v>rxQueueHigh32</x:v>
      </x:c>
      <x:c r="C19" s="33" t="n">
        <x:v>10.2024</x:v>
      </x:c>
      <x:c r="D19" s="33" t="n">
        <x:v>0.2161</x:v>
      </x:c>
      <x:c r="E19" s="34" t="n">
        <x:v>2.12</x:v>
      </x:c>
      <x:c r="F19" s="34" t="n">
        <x:v>2.0433882437663144</x:v>
      </x:c>
    </x:row>
    <x:row r="20">
      <x:c r="A20" s="15" t="str">
        <x:v>T19</x:v>
      </x:c>
      <x:c r="B20" s="15" t="str">
        <x:v>minIdle30ms</x:v>
      </x:c>
      <x:c r="C20" s="33" t="n">
        <x:v>10.2009</x:v>
      </x:c>
      <x:c r="D20" s="33" t="n">
        <x:v>0.1552</x:v>
      </x:c>
      <x:c r="E20" s="34" t="n">
        <x:v>1.52</x:v>
      </x:c>
      <x:c r="F20" s="34" t="n">
        <x:v>2.0283853932247116</x:v>
      </x:c>
    </x:row>
    <x:row r="21">
      <x:c r="A21" s="15" t="str">
        <x:v>T36</x:v>
      </x:c>
      <x:c r="B21" s="15" t="str">
        <x:v>fullBurst800</x:v>
      </x:c>
      <x:c r="C21" s="33" t="n">
        <x:v>10.2006</x:v>
      </x:c>
      <x:c r="D21" s="33" t="n">
        <x:v>0.1955</x:v>
      </x:c>
      <x:c r="E21" s="34" t="n">
        <x:v>1.92</x:v>
      </x:c>
      <x:c r="F21" s="34" t="n">
        <x:v>2.02538482311638</x:v>
      </x:c>
    </x:row>
    <x:row r="23">
      <x:c r="A23" s="39" t="str">
        <x:v>Focused configuration comparison</x:v>
      </x:c>
      <x:c r="B23" s="39"/>
      <x:c r="C23" s="39"/>
      <x:c r="D23" s="39"/>
      <x:c r="E23" s="39"/>
      <x:c r="F23" s="39"/>
    </x:row>
    <x:row r="24" ht="15" hidden="0" customHeight="1">
      <x:c r="A24" s="46" t="str">
        <x:v>Parameter</x:v>
      </x:c>
      <x:c r="B24" s="46" t="str">
        <x:v>Default / fair</x:v>
      </x:c>
      <x:c r="C24" s="46" t="str">
        <x:v>T29</x:v>
      </x:c>
      <x:c r="D24" s="46" t="str">
        <x:v>T41</x:v>
      </x:c>
      <x:c r="E24" s="46" t="str">
        <x:v>TOP3</x:v>
      </x:c>
      <x:c r="F24" s="46" t="str">
        <x:v>Applies to</x:v>
      </x:c>
    </x:row>
    <x:row r="25" ht="30" hidden="0" customHeight="1">
      <x:c r="A25" s="15" t="str">
        <x:v>PRESSURE_UP</x:v>
      </x:c>
      <x:c r="B25" s="15" t="str">
        <x:v>600</x:v>
      </x:c>
      <x:c r="C25" s="15" t="str">
        <x:v>600</x:v>
      </x:c>
      <x:c r="D25" s="15" t="str">
        <x:v>600</x:v>
      </x:c>
      <x:c r="E25" s="15" t="str">
        <x:v>450</x:v>
      </x:c>
      <x:c r="F25" s="15" t="str">
        <x:v>BASIC + PLUS</x:v>
      </x:c>
    </x:row>
    <x:row r="26" ht="30" hidden="0" customHeight="1">
      <x:c r="A26" s="15" t="str">
        <x:v>RX_QUEUE_HIGH</x:v>
      </x:c>
      <x:c r="B26" s="15" t="str">
        <x:v>64</x:v>
      </x:c>
      <x:c r="C26" s="15" t="str">
        <x:v>48</x:v>
      </x:c>
      <x:c r="D26" s="15" t="str">
        <x:v>64</x:v>
      </x:c>
      <x:c r="E26" s="15" t="str">
        <x:v>48</x:v>
      </x:c>
      <x:c r="F26" s="15" t="str">
        <x:v>BASIC + PLUS</x:v>
      </x:c>
    </x:row>
    <x:row r="27" ht="30" hidden="0" customHeight="1">
      <x:c r="A27" s="15" t="str">
        <x:v>ACTIVE_TRANSFER_SLEEP_MIN_LEVEL</x:v>
      </x:c>
      <x:c r="B27" s="15" t="str">
        <x:v>4</x:v>
      </x:c>
      <x:c r="C27" s="15" t="str">
        <x:v>4</x:v>
      </x:c>
      <x:c r="D27" s="15" t="str">
        <x:v>16</x:v>
      </x:c>
      <x:c r="E27" s="15" t="str">
        <x:v>16</x:v>
      </x:c>
      <x:c r="F27" s="15" t="str">
        <x:v>PLUS only</x:v>
      </x:c>
    </x:row>
    <x:row r="28" ht="30" hidden="0" customHeight="1">
      <x:c r="A28" s="15" t="str">
        <x:v>IDLE_MODE</x:v>
      </x:c>
      <x:c r="B28" s="15" t="str">
        <x:v>epoll default; monitor in fair runs</x:v>
      </x:c>
      <x:c r="C28" s="15" t="str">
        <x:v>monitor</x:v>
      </x:c>
      <x:c r="D28" s="15" t="str">
        <x:v>monitor</x:v>
      </x:c>
      <x:c r="E28" s="15" t="str">
        <x:v>monitor</x:v>
      </x:c>
      <x:c r="F28" s="15" t="str">
        <x:v>BASIC + PLUS</x:v>
      </x:c>
    </x:row>
    <x:row r="29" ht="30" hidden="0" customHeight="1">
      <x:c r="A29" s="15" t="str">
        <x:v>IDLE_FALLBACK</x:v>
      </x:c>
      <x:c r="B29" s="15" t="str">
        <x:v>short</x:v>
      </x:c>
      <x:c r="C29" s="15" t="str">
        <x:v>short</x:v>
      </x:c>
      <x:c r="D29" s="15" t="str">
        <x:v>short</x:v>
      </x:c>
      <x:c r="E29" s="15" t="str">
        <x:v>short</x:v>
      </x:c>
      <x:c r="F29" s="15" t="str">
        <x:v>BASIC + PLUS</x:v>
      </x:c>
    </x:row>
    <x:row r="31">
      <x:c r="A31" s="11" t="str">
        <x:v>Source anchors</x:v>
      </x:c>
      <x:c r="B31" s="11"/>
      <x:c r="C31" s="11"/>
      <x:c r="D31" s="11"/>
      <x:c r="E31" s="11"/>
      <x:c r="F31" s="11"/>
    </x:row>
    <x:row r="32">
      <x:c r="A32" s="72" t="str">
        <x:v>P5 defaults</x:v>
      </x:c>
      <x:c r="B32" s="15" t="str">
        <x:v>https://github.com/Meamarian/GreenQUIC/blob/performance2/p5-multicore/greenquic_test_suite_v22/test_cases/pretests/P5_repeated_8GiB_downloads/config.env</x:v>
      </x:c>
    </x:row>
    <x:row r="33">
      <x:c r="A33" s="72" t="str">
        <x:v>50-case sweep</x:v>
      </x:c>
      <x:c r="B33" s="15" t="str">
        <x:v>https://github.com/Meamarian/GreenQUIC/blob/performance2/p5-multicore/greenquic_test_suite_v22/test_cases/pretests/P5_repeated_8GiB_downloads/p5_plus_sweep50_5x5.py</x:v>
      </x:c>
    </x:row>
    <x:row r="34">
      <x:c r="A34" s="72" t="str">
        <x:v>Runtime mapping</x:v>
      </x:c>
      <x:c r="B34" s="15" t="str">
        <x:v>https://github.com/Meamarian/GreenQUIC/blob/performance2/p5-multicore/greenquic_test_suite_v22/test_cases/pretests/P5_repeated_8GiB_downloads/gq_common_p5.sh</x:v>
      </x:c>
    </x:row>
    <x:row r="35">
      <x:c r="A35" s="72" t="str">
        <x:v>Power tuning README</x:v>
      </x:c>
      <x:c r="B35" s="15" t="str">
        <x:v>https://github.com/Meamarian/GreenQUIC/blob/performance2/p5-multicore/power_mng_tunning/README.md</x:v>
      </x:c>
    </x:row>
  </x:sheetData>
  <x:mergeCells>
    <x:mergeCell ref="A1:F1"/>
    <x:mergeCell ref="A23:F23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4" hidden="0" customWidth="1"/>
    <x:col min="5" max="5" width="11" hidden="0" customWidth="1"/>
    <x:col min="6" max="6" width="10" hidden="0" customWidth="1"/>
    <x:col min="7" max="7" width="17" hidden="0" customWidth="1"/>
    <x:col min="8" max="8" width="9" hidden="0" customWidth="1"/>
    <x:col min="9" max="9" width="14" hidden="0" customWidth="1"/>
    <x:col min="10" max="10" width="19" hidden="0" customWidth="1"/>
    <x:col min="11" max="11" width="34" hidden="0" customWidth="1"/>
    <x:col min="12" max="12" width="40" hidden="0" customWidth="1"/>
    <x:col min="13" max="13" width="42" hidden="0" customWidth="1"/>
  </x:cols>
  <x:sheetData>
    <x:row r="1">
      <x:c r="A1" s="56" t="str">
        <x:v>Test</x:v>
      </x:c>
      <x:c r="B1" s="56" t="str">
        <x:v>Configuration</x:v>
      </x:c>
      <x:c r="C1" s="56" t="str">
        <x:v>Status</x:v>
      </x:c>
      <x:c r="D1" s="56" t="str">
        <x:v>Mean goodput (Gb/s)</x:v>
      </x:c>
      <x:c r="E1" s="56" t="str">
        <x:v>SD</x:v>
      </x:c>
      <x:c r="F1" s="56" t="str">
        <x:v>CV (%)</x:v>
      </x:c>
      <x:c r="G1" s="56" t="str">
        <x:v>Δ vs baseline (%)</x:v>
      </x:c>
      <x:c r="H1" s="56" t="str">
        <x:v>Rank</x:v>
      </x:c>
      <x:c r="I1" s="56" t="str">
        <x:v>D1 mean (Gb/s)</x:v>
      </x:c>
      <x:c r="J1" s="56" t="str">
        <x:v>D1 Δ vs baseline (%)</x:v>
      </x:c>
      <x:c r="K1" s="56" t="str">
        <x:v>Changed parameter(s)</x:v>
      </x:c>
      <x:c r="L1" s="56" t="str">
        <x:v>Default → tested value</x:v>
      </x:c>
      <x:c r="M1" s="56" t="str">
        <x:v>Validity / failure note</x:v>
      </x:c>
    </x:row>
    <x:row r="2">
      <x:c r="A2" s="19" t="str">
        <x:v>T01</x:v>
      </x:c>
      <x:c r="B2" s="19" t="str">
        <x:v>baseline</x:v>
      </x:c>
      <x:c r="C2" s="19" t="str">
        <x:v>OK</x:v>
      </x:c>
      <x:c r="D2" s="58" t="n">
        <x:v>9.9981</x:v>
      </x:c>
      <x:c r="E2" s="58" t="n">
        <x:v>0.1448</x:v>
      </x:c>
      <x:c r="F2" s="60" t="n">
        <x:v>1.45</x:v>
      </x:c>
      <x:c r="G2" s="60" t="n">
        <x:f>IF(D2="","",(D2-$D$2)/$D$2*100)</x:f>
        <x:v>0</x:v>
      </x:c>
      <x:c r="H2" s="19" t="n">
        <x:v>37</x:v>
      </x:c>
      <x:c r="I2" s="58" t="n">
        <x:v>8.8696</x:v>
      </x:c>
      <x:c r="J2" s="60" t="n">
        <x:f>IF(I2="","",(I2-$I$2)/$I$2*100)</x:f>
        <x:v>0</x:v>
      </x:c>
      <x:c r="K2" s="19" t="str">
        <x:v>Defaults (no parameter override)</x:v>
      </x:c>
      <x:c r="L2" s="19" t="str">
        <x:v>All normal defaults</x:v>
      </x:c>
      <x:c r="M2" s="19" t="str">
        <x:v>Complete 5-run result.</x:v>
      </x:c>
    </x:row>
    <x:row r="3">
      <x:c r="A3" s="19" t="str">
        <x:v>T02</x:v>
      </x:c>
      <x:c r="B3" s="19" t="str">
        <x:v>max850</x:v>
      </x:c>
      <x:c r="C3" s="19" t="str">
        <x:v>OK</x:v>
      </x:c>
      <x:c r="D3" s="58" t="n">
        <x:v>10.0476</x:v>
      </x:c>
      <x:c r="E3" s="58" t="n">
        <x:v>0.1217</x:v>
      </x:c>
      <x:c r="F3" s="60" t="n">
        <x:v>1.21</x:v>
      </x:c>
      <x:c r="G3" s="60" t="n">
        <x:f>IF(D3="","",(D3-$D$2)/$D$2*100)</x:f>
        <x:v>0.495094067872879</x:v>
      </x:c>
      <x:c r="H3" s="19" t="n">
        <x:v>34</x:v>
      </x:c>
      <x:c r="I3" s="58" t="n">
        <x:v>8.863</x:v>
      </x:c>
      <x:c r="J3" s="60" t="n">
        <x:f>IF(I3="","",(I3-$I$2)/$I$2*100)</x:f>
        <x:v>-0.07441147289619154</x:v>
      </x:c>
      <x:c r="K3" s="19" t="str">
        <x:v>PRESSURE_MAX=850</x:v>
      </x:c>
      <x:c r="L3" s="19" t="str">
        <x:v>PRESSURE_MAX: 900 → 850</x:v>
      </x:c>
      <x:c r="M3" s="19" t="str">
        <x:v>Complete 5-run result.</x:v>
      </x:c>
    </x:row>
    <x:row r="4">
      <x:c r="A4" s="19" t="str">
        <x:v>T03</x:v>
      </x:c>
      <x:c r="B4" s="19" t="str">
        <x:v>max800</x:v>
      </x:c>
      <x:c r="C4" s="19" t="str">
        <x:v>OK</x:v>
      </x:c>
      <x:c r="D4" s="58" t="n">
        <x:v>10.1251</x:v>
      </x:c>
      <x:c r="E4" s="58" t="n">
        <x:v>0.1912</x:v>
      </x:c>
      <x:c r="F4" s="60" t="n">
        <x:v>1.89</x:v>
      </x:c>
      <x:c r="G4" s="60" t="n">
        <x:f>IF(D4="","",(D4-$D$2)/$D$2*100)</x:f>
        <x:v>1.2702413458557014</x:v>
      </x:c>
      <x:c r="H4" s="19" t="n">
        <x:v>19</x:v>
      </x:c>
      <x:c r="I4" s="58" t="n">
        <x:v>9.2162</x:v>
      </x:c>
      <x:c r="J4" s="60" t="n">
        <x:f>IF(I4="","",(I4-$I$2)/$I$2*100)</x:f>
        <x:v>3.907729773608736</x:v>
      </x:c>
      <x:c r="K4" s="19" t="str">
        <x:v>PRESSURE_MAX=800</x:v>
      </x:c>
      <x:c r="L4" s="19" t="str">
        <x:v>PRESSURE_MAX: 900 → 800</x:v>
      </x:c>
      <x:c r="M4" s="19" t="str">
        <x:v>Complete 5-run result.</x:v>
      </x:c>
    </x:row>
    <x:row r="5">
      <x:c r="A5" s="19" t="str">
        <x:v>T04</x:v>
      </x:c>
      <x:c r="B5" s="19" t="str">
        <x:v>max750</x:v>
      </x:c>
      <x:c r="C5" s="19" t="str">
        <x:v>OK</x:v>
      </x:c>
      <x:c r="D5" s="58" t="n">
        <x:v>10.0875</x:v>
      </x:c>
      <x:c r="E5" s="58" t="n">
        <x:v>0.114</x:v>
      </x:c>
      <x:c r="F5" s="60" t="n">
        <x:v>1.13</x:v>
      </x:c>
      <x:c r="G5" s="60" t="n">
        <x:f>IF(D5="","",(D5-$D$2)/$D$2*100)</x:f>
        <x:v>0.8941698922795279</x:v>
      </x:c>
      <x:c r="H5" s="19" t="n">
        <x:v>26</x:v>
      </x:c>
      <x:c r="I5" s="58" t="n">
        <x:v>8.9154</x:v>
      </x:c>
      <x:c r="J5" s="60" t="n">
        <x:f>IF(I5="","",(I5-$I$2)/$I$2*100)</x:f>
        <x:v>0.5163705240371588</x:v>
      </x:c>
      <x:c r="K5" s="19" t="str">
        <x:v>PRESSURE_MAX=750</x:v>
      </x:c>
      <x:c r="L5" s="19" t="str">
        <x:v>PRESSURE_MAX: 900 → 750</x:v>
      </x:c>
      <x:c r="M5" s="19" t="str">
        <x:v>Complete 5-run result.</x:v>
      </x:c>
    </x:row>
    <x:row r="6">
      <x:c r="A6" s="19" t="str">
        <x:v>T05</x:v>
      </x:c>
      <x:c r="B6" s="19" t="str">
        <x:v>max700</x:v>
      </x:c>
      <x:c r="C6" s="19" t="str">
        <x:v>OK</x:v>
      </x:c>
      <x:c r="D6" s="58" t="n">
        <x:v>10.0766</x:v>
      </x:c>
      <x:c r="E6" s="58" t="n">
        <x:v>0.2033</x:v>
      </x:c>
      <x:c r="F6" s="60" t="n">
        <x:v>2.02</x:v>
      </x:c>
      <x:c r="G6" s="60" t="n">
        <x:f>IF(D6="","",(D6-$D$2)/$D$2*100)</x:f>
        <x:v>0.7851491783438678</x:v>
      </x:c>
      <x:c r="H6" s="19" t="n">
        <x:v>29</x:v>
      </x:c>
      <x:c r="I6" s="58" t="n">
        <x:v>9.2105</x:v>
      </x:c>
      <x:c r="J6" s="60" t="n">
        <x:f>IF(I6="","",(I6-$I$2)/$I$2*100)</x:f>
        <x:v>3.843465319743839</x:v>
      </x:c>
      <x:c r="K6" s="19" t="str">
        <x:v>PRESSURE_MAX=700</x:v>
      </x:c>
      <x:c r="L6" s="19" t="str">
        <x:v>PRESSURE_MAX: 900 → 700</x:v>
      </x:c>
      <x:c r="M6" s="19" t="str">
        <x:v>Complete 5-run result.</x:v>
      </x:c>
    </x:row>
    <x:row r="7">
      <x:c r="A7" s="19" t="str">
        <x:v>T06</x:v>
      </x:c>
      <x:c r="B7" s="19" t="str">
        <x:v>up500</x:v>
      </x:c>
      <x:c r="C7" s="19" t="str">
        <x:v>OK</x:v>
      </x:c>
      <x:c r="D7" s="58" t="n">
        <x:v>10.2052</x:v>
      </x:c>
      <x:c r="E7" s="58" t="n">
        <x:v>0.139</x:v>
      </x:c>
      <x:c r="F7" s="60" t="n">
        <x:v>1.36</x:v>
      </x:c>
      <x:c r="G7" s="60" t="n">
        <x:f>IF(D7="","",(D7-$D$2)/$D$2*100)</x:f>
        <x:v>2.0713935647772947</x:v>
      </x:c>
      <x:c r="H7" s="19" t="n">
        <x:v>6</x:v>
      </x:c>
      <x:c r="I7" s="58" t="n">
        <x:v>9.275</x:v>
      </x:c>
      <x:c r="J7" s="60" t="n">
        <x:f>IF(I7="","",(I7-$I$2)/$I$2*100)</x:f>
        <x:v>4.570668350320197</x:v>
      </x:c>
      <x:c r="K7" s="19" t="str">
        <x:v>PRESSURE_UP=500</x:v>
      </x:c>
      <x:c r="L7" s="19" t="str">
        <x:v>PRESSURE_UP: 600 → 500</x:v>
      </x:c>
      <x:c r="M7" s="19" t="str">
        <x:v>Complete 5-run result.</x:v>
      </x:c>
    </x:row>
    <x:row r="8">
      <x:c r="A8" s="19" t="str">
        <x:v>T07</x:v>
      </x:c>
      <x:c r="B8" s="19" t="str">
        <x:v>up450</x:v>
      </x:c>
      <x:c r="C8" s="19" t="str">
        <x:v>OK</x:v>
      </x:c>
      <x:c r="D8" s="58" t="n">
        <x:v>10.2546</x:v>
      </x:c>
      <x:c r="E8" s="58" t="n">
        <x:v>0.0886</x:v>
      </x:c>
      <x:c r="F8" s="60" t="n">
        <x:v>0.86</x:v>
      </x:c>
      <x:c r="G8" s="60" t="n">
        <x:f>IF(D8="","",(D8-$D$2)/$D$2*100)</x:f>
        <x:v>2.5654874426140872</x:v>
      </x:c>
      <x:c r="H8" s="19" t="n">
        <x:v>3</x:v>
      </x:c>
      <x:c r="I8" s="58" t="n">
        <x:v>9.3155</x:v>
      </x:c>
      <x:c r="J8" s="60" t="n">
        <x:f>IF(I8="","",(I8-$I$2)/$I$2*100)</x:f>
        <x:v>5.027284206728601</x:v>
      </x:c>
      <x:c r="K8" s="19" t="str">
        <x:v>PRESSURE_UP=450</x:v>
      </x:c>
      <x:c r="L8" s="19" t="str">
        <x:v>PRESSURE_UP: 600 → 450</x:v>
      </x:c>
      <x:c r="M8" s="19" t="str">
        <x:v>Complete 5-run result.</x:v>
      </x:c>
    </x:row>
    <x:row r="9">
      <x:c r="A9" s="19" t="str">
        <x:v>T08</x:v>
      </x:c>
      <x:c r="B9" s="19" t="str">
        <x:v>up350</x:v>
      </x:c>
      <x:c r="C9" s="19" t="str">
        <x:v>OK</x:v>
      </x:c>
      <x:c r="D9" s="58" t="n">
        <x:v>10.0682</x:v>
      </x:c>
      <x:c r="E9" s="58" t="n">
        <x:v>0.2097</x:v>
      </x:c>
      <x:c r="F9" s="60" t="n">
        <x:v>2.08</x:v>
      </x:c>
      <x:c r="G9" s="60" t="n">
        <x:f>IF(D9="","",(D9-$D$2)/$D$2*100)</x:f>
        <x:v>0.7011332153108918</x:v>
      </x:c>
      <x:c r="H9" s="19" t="n">
        <x:v>31</x:v>
      </x:c>
      <x:c r="I9" s="58" t="n">
        <x:v>9.2112</x:v>
      </x:c>
      <x:c r="J9" s="60" t="n">
        <x:f>IF(I9="","",(I9-$I$2)/$I$2*100)</x:f>
        <x:v>3.8513574456570723</x:v>
      </x:c>
      <x:c r="K9" s="19" t="str">
        <x:v>PRESSURE_UP=350</x:v>
      </x:c>
      <x:c r="L9" s="19" t="str">
        <x:v>PRESSURE_UP: 600 → 350</x:v>
      </x:c>
      <x:c r="M9" s="19" t="str">
        <x:v>Complete 5-run result.</x:v>
      </x:c>
    </x:row>
    <x:row r="10">
      <x:c r="A10" s="19" t="str">
        <x:v>T09</x:v>
      </x:c>
      <x:c r="B10" s="19" t="str">
        <x:v>up250</x:v>
      </x:c>
      <x:c r="C10" s="19" t="str">
        <x:v>OK</x:v>
      </x:c>
      <x:c r="D10" s="58" t="n">
        <x:v>9.9638</x:v>
      </x:c>
      <x:c r="E10" s="58" t="n">
        <x:v>0.1816</x:v>
      </x:c>
      <x:c r="F10" s="60" t="n">
        <x:v>1.82</x:v>
      </x:c>
      <x:c r="G10" s="60" t="n">
        <x:f>IF(D10="","",(D10-$D$2)/$D$2*100)</x:f>
        <x:v>-0.34306518238465306</x:v>
      </x:c>
      <x:c r="H10" s="19" t="n">
        <x:v>41</x:v>
      </x:c>
      <x:c r="I10" s="58" t="n">
        <x:v>8.8615</x:v>
      </x:c>
      <x:c r="J10" s="60" t="n">
        <x:f>IF(I10="","",(I10-$I$2)/$I$2*100)</x:f>
        <x:v>-0.09132317128168871</x:v>
      </x:c>
      <x:c r="K10" s="19" t="str">
        <x:v>PRESSURE_UP=250</x:v>
      </x:c>
      <x:c r="L10" s="19" t="str">
        <x:v>PRESSURE_UP: 600 → 250</x:v>
      </x:c>
      <x:c r="M10" s="19" t="str">
        <x:v>Complete 5-run result.</x:v>
      </x:c>
    </x:row>
    <x:row r="11">
      <x:c r="A11" s="19" t="str">
        <x:v>T10</x:v>
      </x:c>
      <x:c r="B11" s="19" t="str">
        <x:v>keep200</x:v>
      </x:c>
      <x:c r="C11" s="19" t="str">
        <x:v>OK</x:v>
      </x:c>
      <x:c r="D11" s="58" t="n">
        <x:v>10.0899</x:v>
      </x:c>
      <x:c r="E11" s="58" t="n">
        <x:v>0.291</x:v>
      </x:c>
      <x:c r="F11" s="60" t="n">
        <x:v>2.88</x:v>
      </x:c>
      <x:c r="G11" s="60" t="n">
        <x:f>IF(D11="","",(D11-$D$2)/$D$2*100)</x:f>
        <x:v>0.9181744531460898</x:v>
      </x:c>
      <x:c r="H11" s="19" t="n">
        <x:v>25</x:v>
      </x:c>
      <x:c r="I11" s="58" t="n">
        <x:v>9.2883</x:v>
      </x:c>
      <x:c r="J11" s="60" t="n">
        <x:f>IF(I11="","",(I11-$I$2)/$I$2*100)</x:f>
        <x:v>4.720618742671591</x:v>
      </x:c>
      <x:c r="K11" s="19" t="str">
        <x:v>PRESSURE_KEEP=200</x:v>
      </x:c>
      <x:c r="L11" s="19" t="str">
        <x:v>PRESSURE_KEEP: 250 → 200</x:v>
      </x:c>
      <x:c r="M11" s="19" t="str">
        <x:v>Complete 5-run result.</x:v>
      </x:c>
    </x:row>
    <x:row r="12">
      <x:c r="A12" s="19" t="str">
        <x:v>T11</x:v>
      </x:c>
      <x:c r="B12" s="19" t="str">
        <x:v>keep150</x:v>
      </x:c>
      <x:c r="C12" s="19" t="str">
        <x:v>OK</x:v>
      </x:c>
      <x:c r="D12" s="58" t="n">
        <x:v>9.9935</x:v>
      </x:c>
      <x:c r="E12" s="58" t="n">
        <x:v>0.167</x:v>
      </x:c>
      <x:c r="F12" s="60" t="n">
        <x:v>1.67</x:v>
      </x:c>
      <x:c r="G12" s="60" t="n">
        <x:f>IF(D12="","",(D12-$D$2)/$D$2*100)</x:f>
        <x:v>-0.04600874166093271</x:v>
      </x:c>
      <x:c r="H12" s="19" t="n">
        <x:v>38</x:v>
      </x:c>
      <x:c r="I12" s="58" t="n">
        <x:v>9.0505</x:v>
      </x:c>
      <x:c r="J12" s="60" t="n">
        <x:f>IF(I12="","",(I12-$I$2)/$I$2*100)</x:f>
        <x:v>2.039550825290874</x:v>
      </x:c>
      <x:c r="K12" s="19" t="str">
        <x:v>PRESSURE_KEEP=150</x:v>
      </x:c>
      <x:c r="L12" s="19" t="str">
        <x:v>PRESSURE_KEEP: 250 → 150</x:v>
      </x:c>
      <x:c r="M12" s="19" t="str">
        <x:v>Complete 5-run result.</x:v>
      </x:c>
    </x:row>
    <x:row r="13">
      <x:c r="A13" s="19" t="str">
        <x:v>T12</x:v>
      </x:c>
      <x:c r="B13" s="19" t="str">
        <x:v>keep100</x:v>
      </x:c>
      <x:c r="C13" s="19" t="str">
        <x:v>OK</x:v>
      </x:c>
      <x:c r="D13" s="58" t="n">
        <x:v>10.1595</x:v>
      </x:c>
      <x:c r="E13" s="58" t="n">
        <x:v>0.0687</x:v>
      </x:c>
      <x:c r="F13" s="60" t="n">
        <x:v>0.68</x:v>
      </x:c>
      <x:c r="G13" s="60" t="n">
        <x:f>IF(D13="","",(D13-$D$2)/$D$2*100)</x:f>
        <x:v>1.6143067182764588</x:v>
      </x:c>
      <x:c r="H13" s="19" t="n">
        <x:v>14</x:v>
      </x:c>
      <x:c r="I13" s="58" t="n">
        <x:v>9.0317</x:v>
      </x:c>
      <x:c r="J13" s="60" t="n">
        <x:f>IF(I13="","",(I13-$I$2)/$I$2*100)</x:f>
        <x:v>1.8275908721926644</x:v>
      </x:c>
      <x:c r="K13" s="19" t="str">
        <x:v>PRESSURE_KEEP=100</x:v>
      </x:c>
      <x:c r="L13" s="19" t="str">
        <x:v>PRESSURE_KEEP: 250 → 100</x:v>
      </x:c>
      <x:c r="M13" s="19" t="str">
        <x:v>Complete 5-run result.</x:v>
      </x:c>
    </x:row>
    <x:row r="14">
      <x:c r="A14" s="19" t="str">
        <x:v>T13</x:v>
      </x:c>
      <x:c r="B14" s="19" t="str">
        <x:v>upPeriod400</x:v>
      </x:c>
      <x:c r="C14" s="19" t="str">
        <x:v>OK</x:v>
      </x:c>
      <x:c r="D14" s="58" t="n">
        <x:v>10.0952</x:v>
      </x:c>
      <x:c r="E14" s="58" t="n">
        <x:v>0.0814</x:v>
      </x:c>
      <x:c r="F14" s="60" t="n">
        <x:v>0.81</x:v>
      </x:c>
      <x:c r="G14" s="60" t="n">
        <x:f>IF(D14="","",(D14-$D$2)/$D$2*100)</x:f>
        <x:v>0.9711845250597543</x:v>
      </x:c>
      <x:c r="H14" s="19" t="n">
        <x:v>23</x:v>
      </x:c>
      <x:c r="I14" s="58" t="n">
        <x:v>8.9353</x:v>
      </x:c>
      <x:c r="J14" s="60" t="n">
        <x:f>IF(I14="","",(I14-$I$2)/$I$2*100)</x:f>
        <x:v>0.7407323892847439</x:v>
      </x:c>
      <x:c r="K14" s="19" t="str">
        <x:v>FREQ_UP_PERIOD_US=400</x:v>
      </x:c>
      <x:c r="L14" s="19" t="str">
        <x:v>FREQ_UP_PERIOD_US: 500 → 400</x:v>
      </x:c>
      <x:c r="M14" s="19" t="str">
        <x:v>Complete 5-run result.</x:v>
      </x:c>
    </x:row>
    <x:row r="15">
      <x:c r="A15" s="19" t="str">
        <x:v>T14</x:v>
      </x:c>
      <x:c r="B15" s="19" t="str">
        <x:v>upPeriod250</x:v>
      </x:c>
      <x:c r="C15" s="19" t="str">
        <x:v>OK</x:v>
      </x:c>
      <x:c r="D15" s="58" t="n">
        <x:v>10.13</x:v>
      </x:c>
      <x:c r="E15" s="58" t="n">
        <x:v>0.2412</x:v>
      </x:c>
      <x:c r="F15" s="60" t="n">
        <x:v>2.38</x:v>
      </x:c>
      <x:c r="G15" s="60" t="n">
        <x:f>IF(D15="","",(D15-$D$2)/$D$2*100)</x:f>
        <x:v>1.3192506576249476</x:v>
      </x:c>
      <x:c r="H15" s="19" t="n">
        <x:v>17</x:v>
      </x:c>
      <x:c r="I15" s="58" t="n">
        <x:v>9.1052</x:v>
      </x:c>
      <x:c r="J15" s="60" t="n">
        <x:f>IF(I15="","",(I15-$I$2)/$I$2*100)</x:f>
        <x:v>2.656264093081986</x:v>
      </x:c>
      <x:c r="K15" s="19" t="str">
        <x:v>FREQ_UP_PERIOD_US=250</x:v>
      </x:c>
      <x:c r="L15" s="19" t="str">
        <x:v>FREQ_UP_PERIOD_US: 500 → 250</x:v>
      </x:c>
      <x:c r="M15" s="19" t="str">
        <x:v>Complete 5-run result.</x:v>
      </x:c>
    </x:row>
    <x:row r="16">
      <x:c r="A16" s="19" t="str">
        <x:v>T15</x:v>
      </x:c>
      <x:c r="B16" s="19" t="str">
        <x:v>upPeriod125</x:v>
      </x:c>
      <x:c r="C16" s="19" t="str">
        <x:v>OK</x:v>
      </x:c>
      <x:c r="D16" s="58" t="n">
        <x:v>10.0705</x:v>
      </x:c>
      <x:c r="E16" s="58" t="n">
        <x:v>0.1552</x:v>
      </x:c>
      <x:c r="F16" s="60" t="n">
        <x:v>1.54</x:v>
      </x:c>
      <x:c r="G16" s="60" t="n">
        <x:f>IF(D16="","",(D16-$D$2)/$D$2*100)</x:f>
        <x:v>0.7241375861413493</x:v>
      </x:c>
      <x:c r="H16" s="19" t="n">
        <x:v>30</x:v>
      </x:c>
      <x:c r="I16" s="58" t="n">
        <x:v>8.9343</x:v>
      </x:c>
      <x:c r="J16" s="60" t="n">
        <x:f>IF(I16="","",(I16-$I$2)/$I$2*100)</x:f>
        <x:v>0.7294579236944192</x:v>
      </x:c>
      <x:c r="K16" s="19" t="str">
        <x:v>FREQ_UP_PERIOD_US=125</x:v>
      </x:c>
      <x:c r="L16" s="19" t="str">
        <x:v>FREQ_UP_PERIOD_US: 500 → 125</x:v>
      </x:c>
      <x:c r="M16" s="19" t="str">
        <x:v>Complete 5-run result.</x:v>
      </x:c>
    </x:row>
    <x:row r="17">
      <x:c r="A17" s="19" t="str">
        <x:v>T16</x:v>
      </x:c>
      <x:c r="B17" s="19" t="str">
        <x:v>downPeriod7500</x:v>
      </x:c>
      <x:c r="C17" s="19" t="str">
        <x:v>OK</x:v>
      </x:c>
      <x:c r="D17" s="58" t="n">
        <x:v>10.0565</x:v>
      </x:c>
      <x:c r="E17" s="58" t="n">
        <x:v>0.2127</x:v>
      </x:c>
      <x:c r="F17" s="60" t="n">
        <x:v>2.12</x:v>
      </x:c>
      <x:c r="G17" s="60" t="n">
        <x:f>IF(D17="","",(D17-$D$2)/$D$2*100)</x:f>
        <x:v>0.5841109810863953</x:v>
      </x:c>
      <x:c r="H17" s="19" t="n">
        <x:v>33</x:v>
      </x:c>
      <x:c r="I17" s="58" t="n">
        <x:v>9.0483</x:v>
      </x:c>
      <x:c r="J17" s="60" t="n">
        <x:f>IF(I17="","",(I17-$I$2)/$I$2*100)</x:f>
        <x:v>2.014747000992144</x:v>
      </x:c>
      <x:c r="K17" s="19" t="str">
        <x:v>FREQ_DOWN_PERIOD_US=7500</x:v>
      </x:c>
      <x:c r="L17" s="19" t="str">
        <x:v>FREQ_DOWN_PERIOD_US: 5000 → 7500</x:v>
      </x:c>
      <x:c r="M17" s="19" t="str">
        <x:v>Complete 5-run result.</x:v>
      </x:c>
    </x:row>
    <x:row r="18">
      <x:c r="A18" s="19" t="str">
        <x:v>T17</x:v>
      </x:c>
      <x:c r="B18" s="19" t="str">
        <x:v>downPeriod10000</x:v>
      </x:c>
      <x:c r="C18" s="19" t="str">
        <x:v>OK</x:v>
      </x:c>
      <x:c r="D18" s="58" t="n">
        <x:v>10.0973</x:v>
      </x:c>
      <x:c r="E18" s="58" t="n">
        <x:v>0.1425</x:v>
      </x:c>
      <x:c r="F18" s="60" t="n">
        <x:v>1.41</x:v>
      </x:c>
      <x:c r="G18" s="60" t="n">
        <x:f>IF(D18="","",(D18-$D$2)/$D$2*100)</x:f>
        <x:v>0.9921885158180026</x:v>
      </x:c>
      <x:c r="H18" s="19" t="n">
        <x:v>22</x:v>
      </x:c>
      <x:c r="I18" s="58" t="n">
        <x:v>9.0055</x:v>
      </x:c>
      <x:c r="J18" s="60" t="n">
        <x:f>IF(I18="","",(I18-$I$2)/$I$2*100)</x:f>
        <x:v>1.5321998737259792</x:v>
      </x:c>
      <x:c r="K18" s="19" t="str">
        <x:v>FREQ_DOWN_PERIOD_US=10000</x:v>
      </x:c>
      <x:c r="L18" s="19" t="str">
        <x:v>FREQ_DOWN_PERIOD_US: 5000 → 10000</x:v>
      </x:c>
      <x:c r="M18" s="19" t="str">
        <x:v>Complete 5-run result.</x:v>
      </x:c>
    </x:row>
    <x:row r="19">
      <x:c r="A19" s="19" t="str">
        <x:v>T18</x:v>
      </x:c>
      <x:c r="B19" s="19" t="str">
        <x:v>downPeriod20000</x:v>
      </x:c>
      <x:c r="C19" s="19" t="str">
        <x:v>OK</x:v>
      </x:c>
      <x:c r="D19" s="58" t="n">
        <x:v>10.2218</x:v>
      </x:c>
      <x:c r="E19" s="58" t="n">
        <x:v>0.1949</x:v>
      </x:c>
      <x:c r="F19" s="60" t="n">
        <x:v>1.91</x:v>
      </x:c>
      <x:c r="G19" s="60" t="n">
        <x:f>IF(D19="","",(D19-$D$2)/$D$2*100)</x:f>
        <x:v>2.2374251107710377</x:v>
      </x:c>
      <x:c r="H19" s="19" t="n">
        <x:v>5</x:v>
      </x:c>
      <x:c r="I19" s="58" t="n">
        <x:v>9.4951</x:v>
      </x:c>
      <x:c r="J19" s="60" t="n">
        <x:f>IF(I19="","",(I19-$I$2)/$I$2*100)</x:f>
        <x:v>7.052178226752059</x:v>
      </x:c>
      <x:c r="K19" s="19" t="str">
        <x:v>FREQ_DOWN_PERIOD_US=20000</x:v>
      </x:c>
      <x:c r="L19" s="19" t="str">
        <x:v>FREQ_DOWN_PERIOD_US: 5000 → 20000</x:v>
      </x:c>
      <x:c r="M19" s="19" t="str">
        <x:v>Complete 5-run result.</x:v>
      </x:c>
    </x:row>
    <x:row r="20">
      <x:c r="A20" s="19" t="str">
        <x:v>T19</x:v>
      </x:c>
      <x:c r="B20" s="19" t="str">
        <x:v>minIdle30ms</x:v>
      </x:c>
      <x:c r="C20" s="19" t="str">
        <x:v>OK</x:v>
      </x:c>
      <x:c r="D20" s="58" t="n">
        <x:v>10.2009</x:v>
      </x:c>
      <x:c r="E20" s="58" t="n">
        <x:v>0.1552</x:v>
      </x:c>
      <x:c r="F20" s="60" t="n">
        <x:v>1.52</x:v>
      </x:c>
      <x:c r="G20" s="60" t="n">
        <x:f>IF(D20="","",(D20-$D$2)/$D$2*100)</x:f>
        <x:v>2.0283853932247116</x:v>
      </x:c>
      <x:c r="H20" s="19" t="n">
        <x:v>9</x:v>
      </x:c>
      <x:c r="I20" s="58" t="n">
        <x:v>9.3763</x:v>
      </x:c>
      <x:c r="J20" s="60" t="n">
        <x:f>IF(I20="","",(I20-$I$2)/$I$2*100)</x:f>
        <x:v>5.7127717146207315</x:v>
      </x:c>
      <x:c r="K20" s="19" t="str">
        <x:v>FREQ_MIN_IDLE_US=30000</x:v>
      </x:c>
      <x:c r="L20" s="19" t="str">
        <x:v>FREQ_MIN_IDLE_US: 20000 → 30000</x:v>
      </x:c>
      <x:c r="M20" s="19" t="str">
        <x:v>Complete 5-run result.</x:v>
      </x:c>
    </x:row>
    <x:row r="21">
      <x:c r="A21" s="19" t="str">
        <x:v>T20</x:v>
      </x:c>
      <x:c r="B21" s="19" t="str">
        <x:v>minIdle50ms</x:v>
      </x:c>
      <x:c r="C21" s="19" t="str">
        <x:v>OK</x:v>
      </x:c>
      <x:c r="D21" s="58" t="n">
        <x:v>10.0918</x:v>
      </x:c>
      <x:c r="E21" s="58" t="n">
        <x:v>0.2066</x:v>
      </x:c>
      <x:c r="F21" s="60" t="n">
        <x:v>2.05</x:v>
      </x:c>
      <x:c r="G21" s="60" t="n">
        <x:f>IF(D21="","",(D21-$D$2)/$D$2*100)</x:f>
        <x:v>0.9371780638321114</x:v>
      </x:c>
      <x:c r="H21" s="19" t="n">
        <x:v>24</x:v>
      </x:c>
      <x:c r="I21" s="58" t="n">
        <x:v>9.0129</x:v>
      </x:c>
      <x:c r="J21" s="60" t="n">
        <x:f>IF(I21="","",(I21-$I$2)/$I$2*100)</x:f>
        <x:v>1.6156309190944347</x:v>
      </x:c>
      <x:c r="K21" s="19" t="str">
        <x:v>FREQ_MIN_IDLE_US=50000</x:v>
      </x:c>
      <x:c r="L21" s="19" t="str">
        <x:v>FREQ_MIN_IDLE_US: 20000 → 50000</x:v>
      </x:c>
      <x:c r="M21" s="19" t="str">
        <x:v>Complete 5-run result.</x:v>
      </x:c>
    </x:row>
    <x:row r="22">
      <x:c r="A22" s="19" t="str">
        <x:v>T21</x:v>
      </x:c>
      <x:c r="B22" s="19" t="str">
        <x:v>minIdle100ms</x:v>
      </x:c>
      <x:c r="C22" s="19" t="str">
        <x:v>OK</x:v>
      </x:c>
      <x:c r="D22" s="58" t="n">
        <x:v>9.9856</x:v>
      </x:c>
      <x:c r="E22" s="58" t="n">
        <x:v>0.2731</x:v>
      </x:c>
      <x:c r="F22" s="60" t="n">
        <x:v>2.73</x:v>
      </x:c>
      <x:c r="G22" s="60" t="n">
        <x:f>IF(D22="","",(D22-$D$2)/$D$2*100)</x:f>
        <x:v>-0.1250237545133682</x:v>
      </x:c>
      <x:c r="H22" s="19" t="n">
        <x:v>40</x:v>
      </x:c>
      <x:c r="I22" s="58" t="n">
        <x:v>9.0382</x:v>
      </x:c>
      <x:c r="J22" s="60" t="n">
        <x:f>IF(I22="","",(I22-$I$2)/$I$2*100)</x:f>
        <x:v>1.9008748985298056</x:v>
      </x:c>
      <x:c r="K22" s="19" t="str">
        <x:v>FREQ_MIN_IDLE_US=100000</x:v>
      </x:c>
      <x:c r="L22" s="19" t="str">
        <x:v>FREQ_MIN_IDLE_US: 20000 → 100000</x:v>
      </x:c>
      <x:c r="M22" s="19" t="str">
        <x:v>Complete 5-run result.</x:v>
      </x:c>
    </x:row>
    <x:row r="23">
      <x:c r="A23" s="19" t="str">
        <x:v>T22</x:v>
      </x:c>
      <x:c r="B23" s="19" t="str">
        <x:v>burstRise625</x:v>
      </x:c>
      <x:c r="C23" s="19" t="str">
        <x:v>OK</x:v>
      </x:c>
      <x:c r="D23" s="58" t="n">
        <x:v>10.0255</x:v>
      </x:c>
      <x:c r="E23" s="58" t="n">
        <x:v>0.1469</x:v>
      </x:c>
      <x:c r="F23" s="60" t="n">
        <x:v>1.46</x:v>
      </x:c>
      <x:c r="G23" s="60" t="n">
        <x:f>IF(D23="","",(D23-$D$2)/$D$2*100)</x:f>
        <x:v>0.27405206989326286</x:v>
      </x:c>
      <x:c r="H23" s="19" t="n">
        <x:v>35</x:v>
      </x:c>
      <x:c r="I23" s="58" t="n">
        <x:v>8.8224</x:v>
      </x:c>
      <x:c r="J23" s="60" t="n">
        <x:f>IF(I23="","",(I23-$I$2)/$I$2*100)</x:f>
        <x:v>-0.5321547758636256</x:v>
      </x:c>
      <x:c r="K23" s="19" t="str">
        <x:v>RX_BURST_RISE_ALPHA_PERMILLE=625
TX_BURST_RISE_ALPHA_PERMILLE=625</x:v>
      </x:c>
      <x:c r="L23" s="19" t="str">
        <x:v>RX_BURST_RISE_ALPHA_PERMILLE: 500 → 625
TX_BURST_RISE_ALPHA_PERMILLE: 500 → 625</x:v>
      </x:c>
      <x:c r="M23" s="19" t="str">
        <x:v>Complete 5-run result.</x:v>
      </x:c>
    </x:row>
    <x:row r="24">
      <x:c r="A24" s="19" t="str">
        <x:v>T23</x:v>
      </x:c>
      <x:c r="B24" s="19" t="str">
        <x:v>burstRise750</x:v>
      </x:c>
      <x:c r="C24" s="19" t="str">
        <x:v>OK</x:v>
      </x:c>
      <x:c r="D24" s="58" t="n">
        <x:v>10.0818</x:v>
      </x:c>
      <x:c r="E24" s="58" t="n">
        <x:v>0.2658</x:v>
      </x:c>
      <x:c r="F24" s="60" t="n">
        <x:v>2.64</x:v>
      </x:c>
      <x:c r="G24" s="60" t="n">
        <x:f>IF(D24="","",(D24-$D$2)/$D$2*100)</x:f>
        <x:v>0.8371590602214275</x:v>
      </x:c>
      <x:c r="H24" s="19" t="n">
        <x:v>28</x:v>
      </x:c>
      <x:c r="I24" s="58" t="n">
        <x:v>9.1539</x:v>
      </x:c>
      <x:c r="J24" s="60" t="n">
        <x:f>IF(I24="","",(I24-$I$2)/$I$2*100)</x:f>
        <x:v>3.2053305673311083</x:v>
      </x:c>
      <x:c r="K24" s="19" t="str">
        <x:v>RX_BURST_RISE_ALPHA_PERMILLE=750
TX_BURST_RISE_ALPHA_PERMILLE=750</x:v>
      </x:c>
      <x:c r="L24" s="19" t="str">
        <x:v>RX_BURST_RISE_ALPHA_PERMILLE: 500 → 750
TX_BURST_RISE_ALPHA_PERMILLE: 500 → 750</x:v>
      </x:c>
      <x:c r="M24" s="19" t="str">
        <x:v>Complete 5-run result.</x:v>
      </x:c>
    </x:row>
    <x:row r="25">
      <x:c r="A25" s="19" t="str">
        <x:v>T24</x:v>
      </x:c>
      <x:c r="B25" s="19" t="str">
        <x:v>burstRise1000</x:v>
      </x:c>
      <x:c r="C25" s="19" t="str">
        <x:v>OK</x:v>
      </x:c>
      <x:c r="D25" s="58" t="n">
        <x:v>10.1628</x:v>
      </x:c>
      <x:c r="E25" s="58" t="n">
        <x:v>0.1749</x:v>
      </x:c>
      <x:c r="F25" s="60" t="n">
        <x:v>1.72</x:v>
      </x:c>
      <x:c r="G25" s="60" t="n">
        <x:f>IF(D25="","",(D25-$D$2)/$D$2*100)</x:f>
        <x:v>1.6473129894679972</x:v>
      </x:c>
      <x:c r="H25" s="19" t="n">
        <x:v>13</x:v>
      </x:c>
      <x:c r="I25" s="58" t="n">
        <x:v>9.0431</x:v>
      </x:c>
      <x:c r="J25" s="60" t="n">
        <x:f>IF(I25="","",(I25-$I$2)/$I$2*100)</x:f>
        <x:v>1.956119779922439</x:v>
      </x:c>
      <x:c r="K25" s="19" t="str">
        <x:v>RX_BURST_RISE_ALPHA_PERMILLE=1000
TX_BURST_RISE_ALPHA_PERMILLE=1000</x:v>
      </x:c>
      <x:c r="L25" s="19" t="str">
        <x:v>RX_BURST_RISE_ALPHA_PERMILLE: 500 → 1000
TX_BURST_RISE_ALPHA_PERMILLE: 500 → 1000</x:v>
      </x:c>
      <x:c r="M25" s="19" t="str">
        <x:v>Complete 5-run result.</x:v>
      </x:c>
    </x:row>
    <x:row r="26">
      <x:c r="A26" s="19" t="str">
        <x:v>T25</x:v>
      </x:c>
      <x:c r="B26" s="19" t="str">
        <x:v>burstFall375</x:v>
      </x:c>
      <x:c r="C26" s="19" t="str">
        <x:v>FAIL</x:v>
      </x:c>
      <x:c r="D26" s="58"/>
      <x:c r="E26" s="58"/>
      <x:c r="F26" s="60"/>
      <x:c r="G26" s="60" t="str">
        <x:f>IF(D26="","",(D26-$D$2)/$D$2*100)</x:f>
      </x:c>
      <x:c r="H26" s="19"/>
      <x:c r="I26" s="58"/>
      <x:c r="J26" s="60" t="str">
        <x:f>IF(I26="","",(I26-$I$2)/$I$2*100)</x:f>
      </x:c>
      <x:c r="K26" s="19" t="str">
        <x:v>RX_BURST_FALL_ALPHA_PERMILLE=375
TX_BURST_FALL_ALPHA_PERMILLE=375</x:v>
      </x:c>
      <x:c r="L26" s="19" t="str">
        <x:v>RX_BURST_FALL_ALPHA_PERMILLE: 500 → 375
TX_BURST_FALL_ALPHA_PERMILLE: 500 → 375</x:v>
      </x:c>
      <x:c r="M26" s="19" t="str">
        <x:v>FAIL rc=141. Post-run/bundling SIGPIPE class; measurement is incomplete.</x:v>
      </x:c>
    </x:row>
    <x:row r="27">
      <x:c r="A27" s="19" t="str">
        <x:v>T26</x:v>
      </x:c>
      <x:c r="B27" s="19" t="str">
        <x:v>burstFall250</x:v>
      </x:c>
      <x:c r="C27" s="19" t="str">
        <x:v>OK</x:v>
      </x:c>
      <x:c r="D27" s="58" t="n">
        <x:v>10.0823</x:v>
      </x:c>
      <x:c r="E27" s="58" t="n">
        <x:v>0.1888</x:v>
      </x:c>
      <x:c r="F27" s="60" t="n">
        <x:v>1.87</x:v>
      </x:c>
      <x:c r="G27" s="60" t="n">
        <x:f>IF(D27="","",(D27-$D$2)/$D$2*100)</x:f>
        <x:v>0.842160010401968</x:v>
      </x:c>
      <x:c r="H27" s="19" t="n">
        <x:v>27</x:v>
      </x:c>
      <x:c r="I27" s="58" t="n">
        <x:v>8.9599</x:v>
      </x:c>
      <x:c r="J27" s="60" t="n">
        <x:f>IF(I27="","",(I27-$I$2)/$I$2*100)</x:f>
        <x:v>1.0180842428068815</x:v>
      </x:c>
      <x:c r="K27" s="19" t="str">
        <x:v>RX_BURST_FALL_ALPHA_PERMILLE=250
TX_BURST_FALL_ALPHA_PERMILLE=250</x:v>
      </x:c>
      <x:c r="L27" s="19" t="str">
        <x:v>RX_BURST_FALL_ALPHA_PERMILLE: 500 → 250
TX_BURST_FALL_ALPHA_PERMILLE: 500 → 250</x:v>
      </x:c>
      <x:c r="M27" s="19" t="str">
        <x:v>Complete 5-run result.</x:v>
      </x:c>
    </x:row>
    <x:row r="28">
      <x:c r="A28" s="19" t="str">
        <x:v>T27</x:v>
      </x:c>
      <x:c r="B28" s="19" t="str">
        <x:v>burstFall125</x:v>
      </x:c>
      <x:c r="C28" s="19" t="str">
        <x:v>FAIL</x:v>
      </x:c>
      <x:c r="D28" s="58"/>
      <x:c r="E28" s="58"/>
      <x:c r="F28" s="60"/>
      <x:c r="G28" s="60" t="str">
        <x:f>IF(D28="","",(D28-$D$2)/$D$2*100)</x:f>
      </x:c>
      <x:c r="H28" s="19"/>
      <x:c r="I28" s="58"/>
      <x:c r="J28" s="60" t="str">
        <x:f>IF(I28="","",(I28-$I$2)/$I$2*100)</x:f>
      </x:c>
      <x:c r="K28" s="19" t="str">
        <x:v>RX_BURST_FALL_ALPHA_PERMILLE=125
TX_BURST_FALL_ALPHA_PERMILLE=125</x:v>
      </x:c>
      <x:c r="L28" s="19" t="str">
        <x:v>RX_BURST_FALL_ALPHA_PERMILLE: 500 → 125
TX_BURST_FALL_ALPHA_PERMILLE: 500 → 125</x:v>
      </x:c>
      <x:c r="M28" s="19" t="str">
        <x:v>FAIL rc=141. Post-run/bundling SIGPIPE class; measurement is incomplete.</x:v>
      </x:c>
    </x:row>
    <x:row r="29">
      <x:c r="A29" s="19" t="str">
        <x:v>T28</x:v>
      </x:c>
      <x:c r="B29" s="19" t="str">
        <x:v>backlogFall125</x:v>
      </x:c>
      <x:c r="C29" s="19" t="str">
        <x:v>OK</x:v>
      </x:c>
      <x:c r="D29" s="58" t="n">
        <x:v>10.1804</x:v>
      </x:c>
      <x:c r="E29" s="58" t="n">
        <x:v>0.2288</x:v>
      </x:c>
      <x:c r="F29" s="60" t="n">
        <x:v>2.25</x:v>
      </x:c>
      <x:c r="G29" s="60" t="n">
        <x:f>IF(D29="","",(D29-$D$2)/$D$2*100)</x:f>
        <x:v>1.823346435822803</x:v>
      </x:c>
      <x:c r="H29" s="19" t="n">
        <x:v>11</x:v>
      </x:c>
      <x:c r="I29" s="58" t="n">
        <x:v>9.2146</x:v>
      </x:c>
      <x:c r="J29" s="60" t="n">
        <x:f>IF(I29="","",(I29-$I$2)/$I$2*100)</x:f>
        <x:v>3.8896906286642086</x:v>
      </x:c>
      <x:c r="K29" s="19" t="str">
        <x:v>RX_QUEUE_FALL_ALPHA_PERMILLE=125
TX_RING_FALL_ALPHA_PERMILLE=125</x:v>
      </x:c>
      <x:c r="L29" s="19" t="str">
        <x:v>RX_QUEUE_FALL_ALPHA_PERMILLE: 250 → 125
TX_RING_FALL_ALPHA_PERMILLE: 250 → 125</x:v>
      </x:c>
      <x:c r="M29" s="19" t="str">
        <x:v>Complete 5-run result.</x:v>
      </x:c>
    </x:row>
    <x:row r="30">
      <x:c r="A30" s="19" t="str">
        <x:v>T29</x:v>
      </x:c>
      <x:c r="B30" s="19" t="str">
        <x:v>rxQueueHigh48</x:v>
      </x:c>
      <x:c r="C30" s="19" t="str">
        <x:v>OK</x:v>
      </x:c>
      <x:c r="D30" s="58" t="n">
        <x:v>10.273</x:v>
      </x:c>
      <x:c r="E30" s="58" t="n">
        <x:v>0.1473</x:v>
      </x:c>
      <x:c r="F30" s="60" t="n">
        <x:v>1.43</x:v>
      </x:c>
      <x:c r="G30" s="60" t="n">
        <x:f>IF(D30="","",(D30-$D$2)/$D$2*100)</x:f>
        <x:v>2.749522409257747</x:v>
      </x:c>
      <x:c r="H30" s="19" t="n">
        <x:v>1</x:v>
      </x:c>
      <x:c r="I30" s="58" t="n">
        <x:v>9.4061</x:v>
      </x:c>
      <x:c r="J30" s="60" t="n">
        <x:f>IF(I30="","",(I30-$I$2)/$I$2*100)</x:f>
        <x:v>6.048750789212593</x:v>
      </x:c>
      <x:c r="K30" s="19" t="str">
        <x:v>RX_QUEUE_HIGH=48</x:v>
      </x:c>
      <x:c r="L30" s="19" t="str">
        <x:v>RX_QUEUE_HIGH: 64 → 48</x:v>
      </x:c>
      <x:c r="M30" s="19" t="str">
        <x:v>Complete 5-run result.</x:v>
      </x:c>
    </x:row>
    <x:row r="31">
      <x:c r="A31" s="19" t="str">
        <x:v>T30</x:v>
      </x:c>
      <x:c r="B31" s="19" t="str">
        <x:v>rxQueueHigh32</x:v>
      </x:c>
      <x:c r="C31" s="19" t="str">
        <x:v>OK</x:v>
      </x:c>
      <x:c r="D31" s="58" t="n">
        <x:v>10.2024</x:v>
      </x:c>
      <x:c r="E31" s="58" t="n">
        <x:v>0.2161</x:v>
      </x:c>
      <x:c r="F31" s="60" t="n">
        <x:v>2.12</x:v>
      </x:c>
      <x:c r="G31" s="60" t="n">
        <x:f>IF(D31="","",(D31-$D$2)/$D$2*100)</x:f>
        <x:v>2.0433882437663144</x:v>
      </x:c>
      <x:c r="H31" s="19" t="n">
        <x:v>8</x:v>
      </x:c>
      <x:c r="I31" s="58" t="n">
        <x:v>9.4956</x:v>
      </x:c>
      <x:c r="J31" s="60" t="n">
        <x:f>IF(I31="","",(I31-$I$2)/$I$2*100)</x:f>
        <x:v>7.057815459547211</x:v>
      </x:c>
      <x:c r="K31" s="19" t="str">
        <x:v>RX_QUEUE_HIGH=32</x:v>
      </x:c>
      <x:c r="L31" s="19" t="str">
        <x:v>RX_QUEUE_HIGH: 64 → 32</x:v>
      </x:c>
      <x:c r="M31" s="19" t="str">
        <x:v>Complete 5-run result.</x:v>
      </x:c>
    </x:row>
    <x:row r="32">
      <x:c r="A32" s="19" t="str">
        <x:v>T31</x:v>
      </x:c>
      <x:c r="B32" s="19" t="str">
        <x:v>txRingHigh48</x:v>
      </x:c>
      <x:c r="C32" s="19" t="str">
        <x:v>FAIL</x:v>
      </x:c>
      <x:c r="D32" s="58"/>
      <x:c r="E32" s="58"/>
      <x:c r="F32" s="60"/>
      <x:c r="G32" s="60" t="str">
        <x:f>IF(D32="","",(D32-$D$2)/$D$2*100)</x:f>
      </x:c>
      <x:c r="H32" s="19"/>
      <x:c r="I32" s="58"/>
      <x:c r="J32" s="60" t="str">
        <x:f>IF(I32="","",(I32-$I$2)/$I$2*100)</x:f>
      </x:c>
      <x:c r="K32" s="19" t="str">
        <x:v>TX_RING_HIGH=48</x:v>
      </x:c>
      <x:c r="L32" s="19" t="str">
        <x:v>TX_RING_HIGH: 64 → 48</x:v>
      </x:c>
      <x:c r="M32" s="19" t="str">
        <x:v>FAIL rc=141. Post-run/bundling SIGPIPE class; measurement is incomplete.</x:v>
      </x:c>
    </x:row>
    <x:row r="33">
      <x:c r="A33" s="19" t="str">
        <x:v>T32</x:v>
      </x:c>
      <x:c r="B33" s="19" t="str">
        <x:v>txRingHigh32</x:v>
      </x:c>
      <x:c r="C33" s="19" t="str">
        <x:v>OK</x:v>
      </x:c>
      <x:c r="D33" s="58" t="n">
        <x:v>10.1178</x:v>
      </x:c>
      <x:c r="E33" s="58" t="n">
        <x:v>0.2311</x:v>
      </x:c>
      <x:c r="F33" s="60" t="n">
        <x:v>2.28</x:v>
      </x:c>
      <x:c r="G33" s="60" t="n">
        <x:f>IF(D33="","",(D33-$D$2)/$D$2*100)</x:f>
        <x:v>1.1972274732199109</x:v>
      </x:c>
      <x:c r="H33" s="19" t="n">
        <x:v>21</x:v>
      </x:c>
      <x:c r="I33" s="58" t="n">
        <x:v>9.611</x:v>
      </x:c>
      <x:c r="J33" s="60" t="n">
        <x:f>IF(I33="","",(I33-$I$2)/$I$2*100)</x:f>
        <x:v>8.358888788671424</x:v>
      </x:c>
      <x:c r="K33" s="19" t="str">
        <x:v>TX_RING_HIGH=32</x:v>
      </x:c>
      <x:c r="L33" s="19" t="str">
        <x:v>TX_RING_HIGH: 64 → 32</x:v>
      </x:c>
      <x:c r="M33" s="19" t="str">
        <x:v>Complete 5-run result.</x:v>
      </x:c>
    </x:row>
    <x:row r="34">
      <x:c r="A34" s="19" t="str">
        <x:v>T33</x:v>
      </x:c>
      <x:c r="B34" s="19" t="str">
        <x:v>rxQueueSample32</x:v>
      </x:c>
      <x:c r="C34" s="19" t="str">
        <x:v>OK</x:v>
      </x:c>
      <x:c r="D34" s="58" t="n">
        <x:v>10.1185</x:v>
      </x:c>
      <x:c r="E34" s="58" t="n">
        <x:v>0.1601</x:v>
      </x:c>
      <x:c r="F34" s="60" t="n">
        <x:v>1.58</x:v>
      </x:c>
      <x:c r="G34" s="60" t="n">
        <x:f>IF(D34="","",(D34-$D$2)/$D$2*100)</x:f>
        <x:v>1.2042288034726425</x:v>
      </x:c>
      <x:c r="H34" s="19" t="n">
        <x:v>20</x:v>
      </x:c>
      <x:c r="I34" s="58" t="n">
        <x:v>9.0586</x:v>
      </x:c>
      <x:c r="J34" s="60" t="n">
        <x:f>IF(I34="","",(I34-$I$2)/$I$2*100)</x:f>
        <x:v>2.1308739965725634</x:v>
      </x:c>
      <x:c r="K34" s="19" t="str">
        <x:v>RX_QUEUE_SAMPLE_PERIOD=32</x:v>
      </x:c>
      <x:c r="L34" s="19" t="str">
        <x:v>RX_QUEUE_SAMPLE_PERIOD: 64 → 32</x:v>
      </x:c>
      <x:c r="M34" s="19" t="str">
        <x:v>Complete 5-run result.</x:v>
      </x:c>
    </x:row>
    <x:row r="35">
      <x:c r="A35" s="19" t="str">
        <x:v>T34</x:v>
      </x:c>
      <x:c r="B35" s="19" t="str">
        <x:v>rxQueueSample16</x:v>
      </x:c>
      <x:c r="C35" s="19" t="str">
        <x:v>OK</x:v>
      </x:c>
      <x:c r="D35" s="58" t="n">
        <x:v>10.0652</x:v>
      </x:c>
      <x:c r="E35" s="58" t="n">
        <x:v>0.216</x:v>
      </x:c>
      <x:c r="F35" s="60" t="n">
        <x:v>2.15</x:v>
      </x:c>
      <x:c r="G35" s="60" t="n">
        <x:f>IF(D35="","",(D35-$D$2)/$D$2*100)</x:f>
        <x:v>0.6711275142277027</x:v>
      </x:c>
      <x:c r="H35" s="19" t="n">
        <x:v>32</x:v>
      </x:c>
      <x:c r="I35" s="58" t="n">
        <x:v>9.2152</x:v>
      </x:c>
      <x:c r="J35" s="60" t="n">
        <x:f>IF(I35="","",(I35-$I$2)/$I$2*100)</x:f>
        <x:v>3.8964553080183912</x:v>
      </x:c>
      <x:c r="K35" s="19" t="str">
        <x:v>RX_QUEUE_SAMPLE_PERIOD=16</x:v>
      </x:c>
      <x:c r="L35" s="19" t="str">
        <x:v>RX_QUEUE_SAMPLE_PERIOD: 64 → 16</x:v>
      </x:c>
      <x:c r="M35" s="19" t="str">
        <x:v>Complete 5-run result.</x:v>
      </x:c>
    </x:row>
    <x:row r="36">
      <x:c r="A36" s="19" t="str">
        <x:v>T35</x:v>
      </x:c>
      <x:c r="B36" s="19" t="str">
        <x:v>fullBurst600</x:v>
      </x:c>
      <x:c r="C36" s="19" t="str">
        <x:v>OK</x:v>
      </x:c>
      <x:c r="D36" s="58" t="n">
        <x:v>10.1671</x:v>
      </x:c>
      <x:c r="E36" s="58" t="n">
        <x:v>0.0646</x:v>
      </x:c>
      <x:c r="F36" s="60" t="n">
        <x:v>0.63</x:v>
      </x:c>
      <x:c r="G36" s="60" t="n">
        <x:f>IF(D36="","",(D36-$D$2)/$D$2*100)</x:f>
        <x:v>1.6903211610205808</x:v>
      </x:c>
      <x:c r="H36" s="19" t="n">
        <x:v>12</x:v>
      </x:c>
      <x:c r="I36" s="58" t="n">
        <x:v>8.9627</x:v>
      </x:c>
      <x:c r="J36" s="60" t="n">
        <x:f>IF(I36="","",(I36-$I$2)/$I$2*100)</x:f>
        <x:v>1.0496527464598149</x:v>
      </x:c>
      <x:c r="K36" s="19" t="str">
        <x:v>FULL_BURST_COUNT=4
FULL_BURST_FLOOR=600</x:v>
      </x:c>
      <x:c r="L36" s="19" t="str">
        <x:v>FULL_BURST_COUNT: 8 → 4
FULL_BURST_FLOOR: 0 → 600</x:v>
      </x:c>
      <x:c r="M36" s="19" t="str">
        <x:v>Complete 5-run result.</x:v>
      </x:c>
    </x:row>
    <x:row r="37">
      <x:c r="A37" s="19" t="str">
        <x:v>T36</x:v>
      </x:c>
      <x:c r="B37" s="19" t="str">
        <x:v>fullBurst800</x:v>
      </x:c>
      <x:c r="C37" s="19" t="str">
        <x:v>OK</x:v>
      </x:c>
      <x:c r="D37" s="58" t="n">
        <x:v>10.2006</x:v>
      </x:c>
      <x:c r="E37" s="58" t="n">
        <x:v>0.1955</x:v>
      </x:c>
      <x:c r="F37" s="60" t="n">
        <x:v>1.92</x:v>
      </x:c>
      <x:c r="G37" s="60" t="n">
        <x:f>IF(D37="","",(D37-$D$2)/$D$2*100)</x:f>
        <x:v>2.02538482311638</x:v>
      </x:c>
      <x:c r="H37" s="19" t="n">
        <x:v>10</x:v>
      </x:c>
      <x:c r="I37" s="58" t="n">
        <x:v>9.2404</x:v>
      </x:c>
      <x:c r="J37" s="60" t="n">
        <x:f>IF(I37="","",(I37-$I$2)/$I$2*100)</x:f>
        <x:v>4.180571840894732</x:v>
      </x:c>
      <x:c r="K37" s="19" t="str">
        <x:v>FULL_BURST_COUNT=2
FULL_BURST_FLOOR=800</x:v>
      </x:c>
      <x:c r="L37" s="19" t="str">
        <x:v>FULL_BURST_COUNT: 8 → 2
FULL_BURST_FLOOR: 0 → 800</x:v>
      </x:c>
      <x:c r="M37" s="19" t="str">
        <x:v>Complete 5-run result.</x:v>
      </x:c>
    </x:row>
    <x:row r="38">
      <x:c r="A38" s="19" t="str">
        <x:v>T37</x:v>
      </x:c>
      <x:c r="B38" s="19" t="str">
        <x:v>empty75k</x:v>
      </x:c>
      <x:c r="C38" s="19" t="str">
        <x:v>OK</x:v>
      </x:c>
      <x:c r="D38" s="58" t="n">
        <x:v>10.1578</x:v>
      </x:c>
      <x:c r="E38" s="58" t="n">
        <x:v>0.0724</x:v>
      </x:c>
      <x:c r="F38" s="60" t="n">
        <x:v>0.71</x:v>
      </x:c>
      <x:c r="G38" s="60" t="n">
        <x:f>IF(D38="","",(D38-$D$2)/$D$2*100)</x:f>
        <x:v>1.5973034876626464</x:v>
      </x:c>
      <x:c r="H38" s="19" t="n">
        <x:v>15</x:v>
      </x:c>
      <x:c r="I38" s="58" t="n">
        <x:v>9.2154</x:v>
      </x:c>
      <x:c r="J38" s="60" t="n">
        <x:f>IF(I38="","",(I38-$I$2)/$I$2*100)</x:f>
        <x:v>3.8987102011364723</x:v>
      </x:c>
      <x:c r="K38" s="19" t="str">
        <x:v>RX_EMPTY_POLLS=75000
TX_EMPTY_POLLS=75000</x:v>
      </x:c>
      <x:c r="L38" s="19" t="str">
        <x:v>RX_EMPTY_POLLS: 50000 → 75000
TX_EMPTY_POLLS: 50000 → 75000</x:v>
      </x:c>
      <x:c r="M38" s="19" t="str">
        <x:v>Complete 5-run result.</x:v>
      </x:c>
    </x:row>
    <x:row r="39">
      <x:c r="A39" s="19" t="str">
        <x:v>T38</x:v>
      </x:c>
      <x:c r="B39" s="19" t="str">
        <x:v>empty100k</x:v>
      </x:c>
      <x:c r="C39" s="19" t="str">
        <x:v>FAIL</x:v>
      </x:c>
      <x:c r="D39" s="58"/>
      <x:c r="E39" s="58"/>
      <x:c r="F39" s="60"/>
      <x:c r="G39" s="60" t="str">
        <x:f>IF(D39="","",(D39-$D$2)/$D$2*100)</x:f>
      </x:c>
      <x:c r="H39" s="19"/>
      <x:c r="I39" s="58"/>
      <x:c r="J39" s="60" t="str">
        <x:f>IF(I39="","",(I39-$I$2)/$I$2*100)</x:f>
      </x:c>
      <x:c r="K39" s="19" t="str">
        <x:v>RX_EMPTY_POLLS=100000
TX_EMPTY_POLLS=100000</x:v>
      </x:c>
      <x:c r="L39" s="19" t="str">
        <x:v>RX_EMPTY_POLLS: 50000 → 100000
TX_EMPTY_POLLS: 50000 → 100000</x:v>
      </x:c>
      <x:c r="M39" s="19" t="str">
        <x:v>FAIL rc=141. Post-run/bundling SIGPIPE class; measurement is incomplete.</x:v>
      </x:c>
    </x:row>
    <x:row r="40">
      <x:c r="A40" s="19" t="str">
        <x:v>T39</x:v>
      </x:c>
      <x:c r="B40" s="19" t="str">
        <x:v>empty200k</x:v>
      </x:c>
      <x:c r="C40" s="19" t="str">
        <x:v>OK</x:v>
      </x:c>
      <x:c r="D40" s="58" t="n">
        <x:v>9.9895</x:v>
      </x:c>
      <x:c r="E40" s="58" t="n">
        <x:v>0.3</x:v>
      </x:c>
      <x:c r="F40" s="60" t="n">
        <x:v>3</x:v>
      </x:c>
      <x:c r="G40" s="60" t="n">
        <x:f>IF(D40="","",(D40-$D$2)/$D$2*100)</x:f>
        <x:v>-0.08601634310520272</x:v>
      </x:c>
      <x:c r="H40" s="19" t="n">
        <x:v>39</x:v>
      </x:c>
      <x:c r="I40" s="58" t="n">
        <x:v>8.8962</x:v>
      </x:c>
      <x:c r="J40" s="60" t="n">
        <x:f>IF(I40="","",(I40-$I$2)/$I$2*100)</x:f>
        <x:v>0.2999007847028071</x:v>
      </x:c>
      <x:c r="K40" s="19" t="str">
        <x:v>RX_EMPTY_POLLS=200000
TX_EMPTY_POLLS=200000</x:v>
      </x:c>
      <x:c r="L40" s="19" t="str">
        <x:v>RX_EMPTY_POLLS: 50000 → 200000
TX_EMPTY_POLLS: 50000 → 200000</x:v>
      </x:c>
      <x:c r="M40" s="19" t="str">
        <x:v>Complete 5-run result.</x:v>
      </x:c>
    </x:row>
    <x:row r="41">
      <x:c r="A41" s="19" t="str">
        <x:v>T40</x:v>
      </x:c>
      <x:c r="B41" s="19" t="str">
        <x:v>activeSleep8</x:v>
      </x:c>
      <x:c r="C41" s="19" t="str">
        <x:v>FAIL</x:v>
      </x:c>
      <x:c r="D41" s="58"/>
      <x:c r="E41" s="58"/>
      <x:c r="F41" s="60"/>
      <x:c r="G41" s="60" t="str">
        <x:f>IF(D41="","",(D41-$D$2)/$D$2*100)</x:f>
      </x:c>
      <x:c r="H41" s="19"/>
      <x:c r="I41" s="58"/>
      <x:c r="J41" s="60" t="str">
        <x:f>IF(I41="","",(I41-$I$2)/$I$2*100)</x:f>
      </x:c>
      <x:c r="K41" s="19" t="str">
        <x:v>ACTIVE_TRANSFER_SLEEP_MIN_LEVEL=8</x:v>
      </x:c>
      <x:c r="L41" s="19" t="str">
        <x:v>ACTIVE_TRANSFER_SLEEP_MIN_LEVEL: 4 → 8</x:v>
      </x:c>
      <x:c r="M41" s="19" t="str">
        <x:v>FAIL rc=141. Post-run/bundling SIGPIPE class; measurement is incomplete.</x:v>
      </x:c>
    </x:row>
    <x:row r="42">
      <x:c r="A42" s="19" t="str">
        <x:v>T41</x:v>
      </x:c>
      <x:c r="B42" s="19" t="str">
        <x:v>activeSleep16</x:v>
      </x:c>
      <x:c r="C42" s="19" t="str">
        <x:v>OK</x:v>
      </x:c>
      <x:c r="D42" s="58" t="n">
        <x:v>10.272</x:v>
      </x:c>
      <x:c r="E42" s="58" t="n">
        <x:v>0.0718</x:v>
      </x:c>
      <x:c r="F42" s="60" t="n">
        <x:v>0.7</x:v>
      </x:c>
      <x:c r="G42" s="60" t="n">
        <x:f>IF(D42="","",(D42-$D$2)/$D$2*100)</x:f>
        <x:v>2.7395205088966836</x:v>
      </x:c>
      <x:c r="H42" s="19" t="n">
        <x:v>2</x:v>
      </x:c>
      <x:c r="I42" s="58" t="n">
        <x:v>9.3078</x:v>
      </x:c>
      <x:c r="J42" s="60" t="n">
        <x:f>IF(I42="","",(I42-$I$2)/$I$2*100)</x:f>
        <x:v>4.9404708216830535</x:v>
      </x:c>
      <x:c r="K42" s="19" t="str">
        <x:v>ACTIVE_TRANSFER_SLEEP_MIN_LEVEL=16</x:v>
      </x:c>
      <x:c r="L42" s="19" t="str">
        <x:v>ACTIVE_TRANSFER_SLEEP_MIN_LEVEL: 4 → 16</x:v>
      </x:c>
      <x:c r="M42" s="19" t="str">
        <x:v>Complete 5-run result.</x:v>
      </x:c>
    </x:row>
    <x:row r="43">
      <x:c r="A43" s="19" t="str">
        <x:v>T42</x:v>
      </x:c>
      <x:c r="B43" s="19" t="str">
        <x:v>sleepLevelsHigher</x:v>
      </x:c>
      <x:c r="C43" s="19" t="str">
        <x:v>FAIL</x:v>
      </x:c>
      <x:c r="D43" s="58"/>
      <x:c r="E43" s="58"/>
      <x:c r="F43" s="60"/>
      <x:c r="G43" s="60" t="str">
        <x:f>IF(D43="","",(D43-$D$2)/$D$2*100)</x:f>
      </x:c>
      <x:c r="H43" s="19"/>
      <x:c r="I43" s="58"/>
      <x:c r="J43" s="60" t="str">
        <x:f>IF(I43="","",(I43-$I$2)/$I$2*100)</x:f>
      </x:c>
      <x:c r="K43" s="19" t="str">
        <x:v>SLEEP_SHORT_MIN_LEVEL=4
SLEEP_DATA_MIN_LEVEL=8
SLEEP_DEEP_MIN_LEVEL=16</x:v>
      </x:c>
      <x:c r="L43" s="19" t="str">
        <x:v>SLEEP_SHORT_MIN_LEVEL: 2 → 4
SLEEP_DATA_MIN_LEVEL: 4 → 8
SLEEP_DEEP_MIN_LEVEL: 8 → 16</x:v>
      </x:c>
      <x:c r="M43" s="19" t="str">
        <x:v>FAIL rc=141. Post-run/bundling SIGPIPE class; measurement is incomplete.</x:v>
      </x:c>
    </x:row>
    <x:row r="44">
      <x:c r="A44" s="19" t="str">
        <x:v>T43</x:v>
      </x:c>
      <x:c r="B44" s="19" t="str">
        <x:v>zeroBoundedSleep</x:v>
      </x:c>
      <x:c r="C44" s="19" t="str">
        <x:v>OK</x:v>
      </x:c>
      <x:c r="D44" s="58" t="n">
        <x:v>10.0238</x:v>
      </x:c>
      <x:c r="E44" s="58" t="n">
        <x:v>0.1553</x:v>
      </x:c>
      <x:c r="F44" s="60" t="n">
        <x:v>1.55</x:v>
      </x:c>
      <x:c r="G44" s="60" t="n">
        <x:f>IF(D44="","",(D44-$D$2)/$D$2*100)</x:f>
        <x:v>0.2570488392794503</x:v>
      </x:c>
      <x:c r="H44" s="19" t="n">
        <x:v>36</x:v>
      </x:c>
      <x:c r="I44" s="58" t="n">
        <x:v>8.8383</x:v>
      </x:c>
      <x:c r="J44" s="60" t="n">
        <x:f>IF(I44="","",(I44-$I$2)/$I$2*100)</x:f>
        <x:v>-0.35289077297735955</x:v>
      </x:c>
      <x:c r="K44" s="19" t="str">
        <x:v>ACK_SLEEP_US=0
DATA_SLEEP_US=0
MAX_SLEEP_US=0</x:v>
      </x:c>
      <x:c r="L44" s="19" t="str">
        <x:v>ACK_SLEEP_US: 1 → 0
DATA_SLEEP_US: 2 → 0
MAX_SLEEP_US: 2 → 0</x:v>
      </x:c>
      <x:c r="M44" s="19" t="str">
        <x:v>Complete 5-run result.</x:v>
      </x:c>
    </x:row>
    <x:row r="45">
      <x:c r="A45" s="19" t="str">
        <x:v>T44</x:v>
      </x:c>
      <x:c r="B45" s="19" t="str">
        <x:v>ackAggressive</x:v>
      </x:c>
      <x:c r="C45" s="19" t="str">
        <x:v>FAIL</x:v>
      </x:c>
      <x:c r="D45" s="58"/>
      <x:c r="E45" s="58"/>
      <x:c r="F45" s="60"/>
      <x:c r="G45" s="60" t="str">
        <x:f>IF(D45="","",(D45-$D$2)/$D$2*100)</x:f>
      </x:c>
      <x:c r="H45" s="19"/>
      <x:c r="I45" s="58"/>
      <x:c r="J45" s="60" t="str">
        <x:f>IF(I45="","",(I45-$I$2)/$I$2*100)</x:f>
      </x:c>
      <x:c r="K45" s="19" t="str">
        <x:v>ACK_CLIENT_FLOOR=700
ACK_OTHER_FLOOR=650
ACK_RX_HARDMAX_THRESHOLD=800</x:v>
      </x:c>
      <x:c r="L45" s="19" t="str">
        <x:v>ACK_CLIENT_FLOOR: 600 → 700
ACK_OTHER_FLOOR: 550 → 650
ACK_RX_HARDMAX_THRESHOLD: 900 → 800</x:v>
      </x:c>
      <x:c r="M45" s="19" t="str">
        <x:v>FAIL rc=141. Post-run/bundling SIGPIPE class; measurement is incomplete.</x:v>
      </x:c>
    </x:row>
    <x:row r="46">
      <x:c r="A46" s="19" t="str">
        <x:v>T45</x:v>
      </x:c>
      <x:c r="B46" s="19" t="str">
        <x:v>cwndAggressive</x:v>
      </x:c>
      <x:c r="C46" s="19" t="str">
        <x:v>FAIL</x:v>
      </x:c>
      <x:c r="D46" s="58"/>
      <x:c r="E46" s="58"/>
      <x:c r="F46" s="60"/>
      <x:c r="G46" s="60" t="str">
        <x:f>IF(D46="","",(D46-$D$2)/$D$2*100)</x:f>
      </x:c>
      <x:c r="H46" s="19"/>
      <x:c r="I46" s="58"/>
      <x:c r="J46" s="60" t="str">
        <x:f>IF(I46="","",(I46-$I$2)/$I$2*100)</x:f>
      </x:c>
      <x:c r="K46" s="19" t="str">
        <x:v>CWND_GROWTH_NO_WORK_FLOOR=650
CWND_GROWTH_WORK_FLOOR=700
CWND_GROWTH_PHYSICAL_THRESHOLD=150</x:v>
      </x:c>
      <x:c r="L46" s="19" t="str">
        <x:v>CWND_GROWTH_NO_WORK_FLOOR: 550 → 650
CWND_GROWTH_WORK_FLOOR: 600 → 700
CWND_GROWTH_PHYSICAL_THRESHOLD: 250 → 150</x:v>
      </x:c>
      <x:c r="M46" s="19" t="str">
        <x:v>FAIL rc=141. Post-run/bundling SIGPIPE class; measurement is incomplete.</x:v>
      </x:c>
    </x:row>
    <x:row r="47">
      <x:c r="A47" s="19" t="str">
        <x:v>T46</x:v>
      </x:c>
      <x:c r="B47" s="19" t="str">
        <x:v>recoveryAggressive</x:v>
      </x:c>
      <x:c r="C47" s="19" t="str">
        <x:v>OK</x:v>
      </x:c>
      <x:c r="D47" s="58" t="n">
        <x:v>10.1271</x:v>
      </x:c>
      <x:c r="E47" s="58" t="n">
        <x:v>0.2566</x:v>
      </x:c>
      <x:c r="F47" s="60" t="n">
        <x:v>2.53</x:v>
      </x:c>
      <x:c r="G47" s="60" t="n">
        <x:f>IF(D47="","",(D47-$D$2)/$D$2*100)</x:f>
        <x:v>1.2902451465778453</x:v>
      </x:c>
      <x:c r="H47" s="19" t="n">
        <x:v>18</x:v>
      </x:c>
      <x:c r="I47" s="58" t="n">
        <x:v>9.0937</x:v>
      </x:c>
      <x:c r="J47" s="60" t="n">
        <x:f>IF(I47="","",(I47-$I$2)/$I$2*100)</x:f>
        <x:v>2.5266077387931807</x:v>
      </x:c>
      <x:c r="K47" s="19" t="str">
        <x:v>RECOVERY_FLOOR=800
RECOVERY_HARDMAX_PHYSICAL_THRESHOLD=500</x:v>
      </x:c>
      <x:c r="L47" s="19" t="str">
        <x:v>RECOVERY_FLOOR: 750 → 800
RECOVERY_HARDMAX_PHYSICAL_THRESHOLD: 600 → 500</x:v>
      </x:c>
      <x:c r="M47" s="19" t="str">
        <x:v>Complete 5-run result.</x:v>
      </x:c>
    </x:row>
    <x:row r="48">
      <x:c r="A48" s="19" t="str">
        <x:v>T47</x:v>
      </x:c>
      <x:c r="B48" s="19" t="str">
        <x:v>blockedAggressive</x:v>
      </x:c>
      <x:c r="C48" s="19" t="str">
        <x:v>FAIL</x:v>
      </x:c>
      <x:c r="D48" s="58"/>
      <x:c r="E48" s="58"/>
      <x:c r="F48" s="60"/>
      <x:c r="G48" s="60" t="str">
        <x:f>IF(D48="","",(D48-$D$2)/$D$2*100)</x:f>
      </x:c>
      <x:c r="H48" s="19"/>
      <x:c r="I48" s="58"/>
      <x:c r="J48" s="60" t="str">
        <x:f>IF(I48="","",(I48-$I$2)/$I$2*100)</x:f>
      </x:c>
      <x:c r="K48" s="19" t="str">
        <x:v>BLOCKED_RX_FLOOR=600
BLOCKED_SLEEP_GUARD_LEVEL=4</x:v>
      </x:c>
      <x:c r="L48" s="19" t="str">
        <x:v>BLOCKED_RX_FLOOR: 0 → 600
BLOCKED_SLEEP_GUARD_LEVEL: 0 → 4</x:v>
      </x:c>
      <x:c r="M48" s="19" t="str">
        <x:v>FAIL rc=141. Post-run/bundling SIGPIPE class; measurement is incomplete.</x:v>
      </x:c>
    </x:row>
    <x:row r="49">
      <x:c r="A49" s="19" t="str">
        <x:v>T48</x:v>
      </x:c>
      <x:c r="B49" s="19" t="str">
        <x:v>previousStrong</x:v>
      </x:c>
      <x:c r="C49" s="19" t="str">
        <x:v>OK</x:v>
      </x:c>
      <x:c r="D49" s="58" t="n">
        <x:v>10.1458</x:v>
      </x:c>
      <x:c r="E49" s="58" t="n">
        <x:v>0.1873</x:v>
      </x:c>
      <x:c r="F49" s="60" t="n">
        <x:v>1.85</x:v>
      </x:c>
      <x:c r="G49" s="60" t="n">
        <x:f>IF(D49="","",(D49-$D$2)/$D$2*100)</x:f>
        <x:v>1.4772806833298187</x:v>
      </x:c>
      <x:c r="H49" s="19" t="n">
        <x:v>16</x:v>
      </x:c>
      <x:c r="I49" s="58" t="n">
        <x:v>9.1183</x:v>
      </x:c>
      <x:c r="J49" s="60" t="n">
        <x:f>IF(I49="","",(I49-$I$2)/$I$2*100)</x:f>
        <x:v>2.8039595923153184</x:v>
      </x:c>
      <x:c r="K49" s="19" t="str">
        <x:v>PRESSURE_MAX=800
PRESSURE_UP=350
PRESSURE_KEEP=150
FREQ_UP_PERIOD_US=250
FREQ_DOWN_PERIOD_US=10000
RX_BURST_RISE_ALPHA_PERMILLE=750
TX_BURST_RISE_ALPHA_PERMILLE=750
RX_BURST_FALL_ALPHA_PERMILLE=250
TX_BURST_FALL_ALPHA_PERMILLE=250</x:v>
      </x:c>
      <x:c r="L49" s="19" t="str">
        <x:v>PRESSURE_MAX: 900 → 800
PRESSURE_UP: 600 → 350
PRESSURE_KEEP: 250 → 150
FREQ_UP_PERIOD_US: 500 → 250
FREQ_DOWN_PERIOD_US: 5000 → 10000
RX_BURST_RISE_ALPHA_PERMILLE: 500 → 750
TX_BURST_RISE_ALPHA_PERMILLE: 500 → 750
RX_BURST_FALL_ALPHA_PERMILLE: 500 → 250
TX_BURST_FALL_ALPHA_PERMILLE: 500 → 250</x:v>
      </x:c>
      <x:c r="M49" s="19" t="str">
        <x:v>Complete 5-run result.</x:v>
      </x:c>
    </x:row>
    <x:row r="50">
      <x:c r="A50" s="19" t="str">
        <x:v>T49</x:v>
      </x:c>
      <x:c r="B50" s="19" t="str">
        <x:v>strongBacklogIdle</x:v>
      </x:c>
      <x:c r="C50" s="19" t="str">
        <x:v>OK</x:v>
      </x:c>
      <x:c r="D50" s="58" t="n">
        <x:v>10.2035</x:v>
      </x:c>
      <x:c r="E50" s="58" t="n">
        <x:v>0.08</x:v>
      </x:c>
      <x:c r="F50" s="60" t="n">
        <x:v>0.78</x:v>
      </x:c>
      <x:c r="G50" s="60" t="n">
        <x:f>IF(D50="","",(D50-$D$2)/$D$2*100)</x:f>
        <x:v>2.0543903341634824</x:v>
      </x:c>
      <x:c r="H50" s="19" t="n">
        <x:v>7</x:v>
      </x:c>
      <x:c r="I50" s="58" t="n">
        <x:v>9.1307</x:v>
      </x:c>
      <x:c r="J50" s="60" t="n">
        <x:f>IF(I50="","",(I50-$I$2)/$I$2*100)</x:f>
        <x:v>2.9437629656354174</x:v>
      </x:c>
      <x:c r="K50" s="19" t="str">
        <x:v>PRESSURE_MAX=800
PRESSURE_UP=350
PRESSURE_KEEP=150
FREQ_UP_PERIOD_US=250
FREQ_DOWN_PERIOD_US=10000
RX_BURST_RISE_ALPHA_PERMILLE=750
TX_BURST_RISE_ALPHA_PERMILLE=750
RX_BURST_FALL_ALPHA_PERMILLE=250
TX_BURST_FALL_ALPHA_PERMILLE=250
RX_QUEUE_HIGH=48
TX_RING_HIGH=48
RX_QUEUE_SAMPLE_PERIOD=32
RX_EMPTY_POLLS=100000
TX_EMPTY_POLLS=100000
ACTIVE_TRANSFER_SLEEP_MIN_LEVEL=16</x:v>
      </x:c>
      <x:c r="L50" s="19" t="str">
        <x:v>PRESSURE_MAX: 900 → 800
PRESSURE_UP: 600 → 350
PRESSURE_KEEP: 250 → 150
FREQ_UP_PERIOD_US: 500 → 250
FREQ_DOWN_PERIOD_US: 5000 → 10000
RX_BURST_RISE_ALPHA_PERMILLE: 500 → 750
TX_BURST_RISE_ALPHA_PERMILLE: 500 → 750
RX_BURST_FALL_ALPHA_PERMILLE: 500 → 250
TX_BURST_FALL_ALPHA_PERMILLE: 500 → 250
RX_QUEUE_HIGH: 64 → 48
TX_RING_HIGH: 64 → 48
RX_QUEUE_SAMPLE_PERIOD: 64 → 32
RX_EMPTY_POLLS: 50000 → 100000
TX_EMPTY_POLLS: 50000 → 100000
ACTIVE_TRANSFER_SLEEP_MIN_LEVEL: 4 → 16</x:v>
      </x:c>
      <x:c r="M50" s="19" t="str">
        <x:v>Complete 5-run result.</x:v>
      </x:c>
    </x:row>
    <x:row r="51">
      <x:c r="A51" s="19" t="str">
        <x:v>T50</x:v>
      </x:c>
      <x:c r="B51" s="19" t="str">
        <x:v>allAggressive</x:v>
      </x:c>
      <x:c r="C51" s="19" t="str">
        <x:v>OK</x:v>
      </x:c>
      <x:c r="D51" s="58" t="n">
        <x:v>10.2278</x:v>
      </x:c>
      <x:c r="E51" s="58" t="n">
        <x:v>0.1223</x:v>
      </x:c>
      <x:c r="F51" s="60" t="n">
        <x:v>1.2</x:v>
      </x:c>
      <x:c r="G51" s="60" t="n">
        <x:f>IF(D51="","",(D51-$D$2)/$D$2*100)</x:f>
        <x:v>2.2974365129374514</x:v>
      </x:c>
      <x:c r="H51" s="19" t="n">
        <x:v>4</x:v>
      </x:c>
      <x:c r="I51" s="58" t="n">
        <x:v>9.2934</x:v>
      </x:c>
      <x:c r="J51" s="60" t="n">
        <x:f>IF(I51="","",(I51-$I$2)/$I$2*100)</x:f>
        <x:v>4.7781185171822855</x:v>
      </x:c>
      <x:c r="K51" s="19" t="str">
        <x:v>PRESSURE_MAX=750
PRESSURE_UP=250
PRESSURE_KEEP=100
FREQ_UP_PERIOD_US=125
FREQ_DOWN_PERIOD_US=20000
FREQ_MIN_IDLE_US=50000
RX_BURST_RISE_ALPHA_PERMILLE=1000
TX_BURST_RISE_ALPHA_PERMILLE=1000
RX_BURST_FALL_ALPHA_PERMILLE=125
TX_BURST_FALL_ALPHA_PERMILLE=125
RX_QUEUE_FALL_ALPHA_PERMILLE=125
TX_RING_FALL_ALPHA_PERMILLE=125
RX_QUEUE_HIGH=48
TX_RING_HIGH=48
RX_QUEUE_SAMPLE_PERIOD=32
FULL_BURST_COUNT=2
FULL_BURST_FLOOR=800
RX_EMPTY_POLLS=100000
TX_EMPTY_POLLS=100000
ACTIVE_TRANSFER_SLEEP_MIN_LEVEL=16
SLEEP_SHORT_MIN_LEVEL=4
SLEEP_DATA_MIN_LEVEL=8
SLEEP_DEEP_MIN_LEVEL=16
ACK_CLIENT_FLOOR=700
ACK_OTHER_FLOOR=650
ACK_RX_HARDMAX_THRESHOLD=800
CWND_GROWTH_NO_WORK_FLOOR=650
CWND_GROWTH_WORK_FLOOR=700
CWND_GROWTH_PHYSICAL_THRESHOLD=150
RECOVERY_FLOOR=800
RECOVERY_HARDMAX_PHYSICAL_THRESHOLD=500
BLOCKED_RX_FLOOR=600
BLOCKED_SLEEP_GUARD_LEVEL=4</x:v>
      </x:c>
      <x:c r="L51" s="19" t="str">
        <x:v>PRESSURE_MAX: 900 → 750
PRESSURE_UP: 600 → 250
PRESSURE_KEEP: 250 → 100
FREQ_UP_PERIOD_US: 500 → 125
FREQ_DOWN_PERIOD_US: 5000 → 20000
FREQ_MIN_IDLE_US: 20000 → 50000
RX_BURST_RISE_ALPHA_PERMILLE: 500 → 1000
TX_BURST_RISE_ALPHA_PERMILLE: 500 → 1000
RX_BURST_FALL_ALPHA_PERMILLE: 500 → 125
TX_BURST_FALL_ALPHA_PERMILLE: 500 → 125
RX_QUEUE_FALL_ALPHA_PERMILLE: 250 → 125
TX_RING_FALL_ALPHA_PERMILLE: 250 → 125
RX_QUEUE_HIGH: 64 → 48
TX_RING_HIGH: 64 → 48
RX_QUEUE_SAMPLE_PERIOD: 64 → 32
FULL_BURST_COUNT: 8 → 2
FULL_BURST_FLOOR: 0 → 800
RX_EMPTY_POLLS: 50000 → 100000
TX_EMPTY_POLLS: 50000 → 100000
ACTIVE_TRANSFER_SLEEP_MIN_LEVEL: 4 → 16
SLEEP_SHORT_MIN_LEVEL: 2 → 4
SLEEP_DATA_MIN_LEVEL: 4 → 8
SLEEP_DEEP_MIN_LEVEL: 8 → 16
ACK_CLIENT_FLOOR: 600 → 700
ACK_OTHER_FLOOR: 550 → 650
ACK_RX_HARDMAX_THRESHOLD: 900 → 800
CWND_GROWTH_NO_WORK_FLOOR: 550 → 650
CWND_GROWTH_WORK_FLOOR: 600 → 700
CWND_GROWTH_PHYSICAL_THRESHOLD: 250 → 150
RECOVERY_FLOOR: 750 → 800
RECOVERY_HARDMAX_PHYSICAL_THRESHOLD: 600 → 500
BLOCKED_RX_FLOOR: 0 → 600
BLOCKED_SLEEP_GUARD_LEVEL: 0 → 4</x:v>
      </x:c>
      <x:c r="M51" s="19" t="str">
        <x:v>Complete 5-run result.</x:v>
      </x:c>
    </x:row>
  </x:sheetData>
  <x:conditionalFormatting sqref="C2:C51">
    <x:cfRule type="expression" dxfId="0" priority="1">
      <x:formula>C2="FAIL"</x:formula>
    </x:cfRule>
    <x:cfRule type="expression" dxfId="1" priority="2">
      <x:formula>C2="OK"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  <x:col min="3" max="3" width="20" hidden="0" customWidth="1"/>
    <x:col min="4" max="4" width="9" hidden="0" customWidth="1"/>
    <x:col min="5" max="5" width="14" hidden="0" customWidth="1"/>
    <x:col min="6" max="6" width="54" hidden="0" customWidth="1"/>
    <x:col min="7" max="7" width="20" hidden="0" customWidth="1"/>
    <x:col min="8" max="8" width="24" hidden="0" customWidth="1"/>
  </x:cols>
  <x:sheetData>
    <x:row r="1">
      <x:c r="A1" s="63" t="str">
        <x:v>Focused follow-up tests and exact run commands</x:v>
      </x:c>
      <x:c r="B1" s="63"/>
      <x:c r="C1" s="63"/>
      <x:c r="D1" s="63"/>
      <x:c r="E1" s="63"/>
      <x:c r="F1" s="63"/>
      <x:c r="G1" s="63"/>
      <x:c r="H1" s="63"/>
    </x:row>
    <x:row r="3" ht="15" hidden="0" customHeight="1">
      <x:c r="A3" s="66" t="str">
        <x:v>Test</x:v>
      </x:c>
      <x:c r="B3" s="66" t="str">
        <x:v>Purpose</x:v>
      </x:c>
      <x:c r="C3" s="66" t="str">
        <x:v>Modes</x:v>
      </x:c>
      <x:c r="D3" s="66" t="str">
        <x:v>Runs</x:v>
      </x:c>
      <x:c r="E3" s="66" t="str">
        <x:v>Downloads/run</x:v>
      </x:c>
      <x:c r="F3" s="66" t="str">
        <x:v>Power-policy overrides</x:v>
      </x:c>
      <x:c r="G3" s="66" t="str">
        <x:v>Matrix folder</x:v>
      </x:c>
      <x:c r="H3" s="66" t="str">
        <x:v>Relationship to 50-case sweep</x:v>
      </x:c>
    </x:row>
    <x:row r="4" ht="15" hidden="0" customHeight="1">
      <x:c r="A4" s="15" t="str">
        <x:v>T29</x:v>
      </x:c>
      <x:c r="B4" s="15" t="str">
        <x:v>Best mean in the 50-case PLUS sweep</x:v>
      </x:c>
      <x:c r="C4" s="15" t="str">
        <x:v>OFF + BASIC + PLUS</x:v>
      </x:c>
      <x:c r="D4" s="15" t="n">
        <x:v>6</x:v>
      </x:c>
      <x:c r="E4" s="15" t="n">
        <x:v>5</x:v>
      </x:c>
      <x:c r="F4" s="15" t="str">
        <x:v>RX_QUEUE_HIGH=48</x:v>
      </x:c>
      <x:c r="G4" s="15" t="str">
        <x:v>T29_&lt;timestamp&gt;</x:v>
      </x:c>
      <x:c r="H4" s="15" t="str">
        <x:v>T29 / rxQueueHigh48</x:v>
      </x:c>
    </x:row>
    <x:row r="5" ht="15" hidden="0" customHeight="1">
      <x:c r="A5" s="15" t="str">
        <x:v>T41</x:v>
      </x:c>
      <x:c r="B5" s="15" t="str">
        <x:v>Near-tied best mean with low variability</x:v>
      </x:c>
      <x:c r="C5" s="15" t="str">
        <x:v>OFF + BASIC + PLUS</x:v>
      </x:c>
      <x:c r="D5" s="15" t="n">
        <x:v>6</x:v>
      </x:c>
      <x:c r="E5" s="15" t="n">
        <x:v>5</x:v>
      </x:c>
      <x:c r="F5" s="15" t="str">
        <x:v>ACTIVE_TRANSFER_SLEEP_MIN_LEVEL=16</x:v>
      </x:c>
      <x:c r="G5" s="15" t="str">
        <x:v>T41_&lt;timestamp&gt;</x:v>
      </x:c>
      <x:c r="H5" s="15" t="str">
        <x:v>T41 / activeSleep16</x:v>
      </x:c>
    </x:row>
    <x:row r="6" ht="39.599998474121094" hidden="0" customHeight="1">
      <x:c r="A6" s="15" t="str">
        <x:v>TOP3</x:v>
      </x:c>
      <x:c r="B6" s="15" t="str">
        <x:v>Combination of three strongest single knobs</x:v>
      </x:c>
      <x:c r="C6" s="15" t="str">
        <x:v>OFF + BASIC + PLUS</x:v>
      </x:c>
      <x:c r="D6" s="15" t="n">
        <x:v>6</x:v>
      </x:c>
      <x:c r="E6" s="15" t="n">
        <x:v>5</x:v>
      </x:c>
      <x:c r="F6" s="15" t="str">
        <x:v>PRESSURE_UP=450
RX_QUEUE_HIGH=48
ACTIVE_TRANSFER_SLEEP_MIN_LEVEL=16</x:v>
      </x:c>
      <x:c r="G6" s="15" t="str">
        <x:v>TOP3_&lt;timestamp&gt;</x:v>
      </x:c>
      <x:c r="H6" s="15" t="str">
        <x:v>T07 + T29 + T41</x:v>
      </x:c>
    </x:row>
    <x:row r="7" ht="15" hidden="0" customHeight="1">
      <x:c r="A7" s="15" t="str">
        <x:v>P7</x:v>
      </x:c>
      <x:c r="B7" s="15" t="str">
        <x:v>Linux/UDP paper baseline</x:v>
      </x:c>
      <x:c r="C7" s="15" t="str">
        <x:v>Linux</x:v>
      </x:c>
      <x:c r="D7" s="15" t="n">
        <x:v>6</x:v>
      </x:c>
      <x:c r="E7" s="15" t="n">
        <x:v>5</x:v>
      </x:c>
      <x:c r="F7" s="15" t="str">
        <x:v>No GreenQUIC power-policy override</x:v>
      </x:c>
      <x:c r="G7" s="15" t="str">
        <x:v>P7_&lt;timestamp&gt;</x:v>
      </x:c>
      <x:c r="H7" s="15" t="str">
        <x:v>Separate Linux baseline</x:v>
      </x:c>
    </x:row>
    <x:row r="9">
      <x:c r="A9" s="46" t="str">
        <x:v>Command</x:v>
      </x:c>
      <x:c r="B9" s="46" t="str">
        <x:v>Exact invocation</x:v>
      </x:c>
    </x:row>
    <x:row r="10" ht="260" hidden="0" customHeight="1">
      <x:c r="A10" s="15" t="str">
        <x:v>Common P5 setup</x:v>
      </x:c>
      <x:c r="B10" s="15" t="str">
        <x:v>P5=/root/mohsen/greenquic_test_suite_v22/test_cases/pretests/P5_repeated_8GiB_downloads
P7=/root/mohsen/greenquic_test_suite_v22/test_cases/pretests/P7_linux_udp_baseline
P5BIN=/root/mohsen/msquic/build-greenquic-p5/bin/Release/quicinterop
STAMP=$(date +%Y%m%d_%H%M%S)
P5_COMMON_ARGS=( --chart-style both --client-host tinyman --client-dir "$P5" --client-bin "$P5BIN"
  --downloads 5 --gap-seconds 5 --server-cooldown-seconds 5 --between-tests-seconds 5
  --cstate-cpu 19 --runs 6 --mode-order balanced --seed 20260806
  --env ENABLE_RECORD=1 --env GQ_CLAIM_DISABLE_ACTIVE_RECORDERS=0 --env GQ_CLAIM_RECORDER_CPU=auto
  --env GQ_LOG_LEVEL=0 --env ENABLE_FREQ=1 --env ENABLE_SLEEP=1 --env ENABLE_PAUSE=1
  --env KEEP_PAUSE_ITERATIONS=1 --env SHORT_PAUSE_ITERATIONS=1
  --env GQ_IDLE_MODE_OVERRIDE=monitor --env GQ_IDLE_FALLBACK_OVERRIDE=short
  --env GQ_ENABLE_ACPI_POWER_TRACE=1 --env GQ_POWER_SAMPLE_INTERVAL_MS=1000
  --env GQ_ENABLE_MSR_TRACE=1 --env GQ_MSR_SAMPLE_INTERVAL_MS=6 --env GQ_MSR_SMOOTH_SAMPLES=3
  --env ENABLE_CSTATE_RECORD=1 --env GQ_ENABLE_FREQ_TRACE=1 --env GQ_FREQ_SAMPLE_INTERVAL_MS=1
  --env GQ_POST_TRANSFER_WAIT_S=0 --env ENABLE_MULTICORE=0
  --env SERVER_DPDK_LCORES=19 --env CLIENT_DPDK_LCORES=19
  --env SERVER_TX_OWNER_LCORE=19 --env CLIENT_TX_OWNER_LCORE=19
  --env SERVER_QUIC_CPUS=21,22,23,24 --env CLIENT_QUIC_CPUS=21,22,23,24
  --env MSQUIC_EXECUTION_PROFILE=max_throughput )</x:v>
      </x:c>
    </x:row>
    <x:row r="11" ht="60" hidden="0" customHeight="1">
      <x:c r="A11" s="15" t="str">
        <x:v>T29</x:v>
      </x:c>
      <x:c r="B11" s="15" t="str">
        <x:v>cd "$P5" &amp;&amp; bash ./run_matrix_with_sheet.sh "${P5_COMMON_ARGS[@]}" --output-dir "$P5/matrix_results/T29_$STAMP" --env RX_QUEUE_HIGH=48</x:v>
      </x:c>
    </x:row>
    <x:row r="12" ht="60" hidden="0" customHeight="1">
      <x:c r="A12" s="15" t="str">
        <x:v>T41</x:v>
      </x:c>
      <x:c r="B12" s="15" t="str">
        <x:v>cd "$P5" &amp;&amp; bash ./run_matrix_with_sheet.sh "${P5_COMMON_ARGS[@]}" --output-dir "$P5/matrix_results/T41_$STAMP" --env ACTIVE_TRANSFER_SLEEP_MIN_LEVEL=16</x:v>
      </x:c>
    </x:row>
    <x:row r="13" ht="60" hidden="0" customHeight="1">
      <x:c r="A13" s="15" t="str">
        <x:v>TOP3</x:v>
      </x:c>
      <x:c r="B13" s="15" t="str">
        <x:v>cd "$P5" &amp;&amp; bash ./run_matrix_with_sheet.sh "${P5_COMMON_ARGS[@]}" --output-dir "$P5/matrix_results/TOP3_$STAMP" --env PRESSURE_UP=450 --env RX_QUEUE_HIGH=48 --env ACTIVE_TRANSFER_SLEEP_MIN_LEVEL=16</x:v>
      </x:c>
    </x:row>
    <x:row r="14" ht="150" hidden="0" customHeight="1">
      <x:c r="A14" s="15" t="str">
        <x:v>P7</x:v>
      </x:c>
      <x:c r="B14" s="15" t="str">
        <x:v>cd "$P7" &amp;&amp; P7_RECORDER_CPU=auto bash ./run_matrix_with_report.sh --chart-style both --log-level 0 --client-host tinyman --client-dir "$P7" --downloads 5 --gap-seconds 5 --runs 6 --pre-cooldown-seconds 5 --post-cooldown-seconds 5 --between-runs-seconds 5 --dataplane-cpu 19 --quic-cpus 21,22,23,24 --pin-irq 1 --pin-quic 1 --disable-rps 1 --disable-rdma 1 --nic-offloads paper --udp-rmem 6815744 --udp-wmem 6815744 --combined-channels 1 --network-diagnostics 0 --record-quic-cpus 0 --enable-record 1 --rapl-interval-ms 6 --freq-interval-ms 1 --require-rapl 1 --stop-irqbalance 1 --mtu 1500 --output-dir "$P7/matrix_results/P7_$STAMP"</x:v>
      </x:c>
    </x:row>
    <x:row r="15"/>
    <x:row r="16" ht="105" hidden="0" customHeight="1">
      <x:c r="A16" s="18" t="str">
        <x:v>Mac command — run all four again</x:v>
      </x:c>
      <x:c r="B16" s="19" t="str">
        <x:v>cd ~/Downloads/GreenQUIC &amp;&amp; \
git fetch origin performance2/p5-multicore &amp;&amp; \
git checkout performance2/p5-multicore &amp;&amp; \
git merge --ff-only origin/performance2/p5-multicore &amp;&amp; \
bash greenquic_test_suite_v22/test_cases/pretests/P5_repeated_8GiB_downloads/mac_run_p5_t29_t41_top3_p7_auto.sh</x:v>
      </x:c>
    </x:row>
    <x:row r="17" ht="15" hidden="0" customHeight="1">
      <x:c r="A17" s="18" t="str">
        <x:v>Run order</x:v>
      </x:c>
      <x:c r="B17" s="19" t="str">
        <x:v>T29 → T41 → TOP3 → P7</x:v>
      </x:c>
    </x:row>
    <x:row r="18" ht="135" hidden="0" customHeight="1">
      <x:c r="A18" s="18" t="str">
        <x:v>Mac live monitor</x:v>
      </x:c>
      <x:c r="B18" s="19" t="str">
        <x:v>ssh idex '
log=$(find /root -maxdepth 1 -type f -name "T29_T41_TOP3_P7_*.log" -printf "%T@ %p\n" 2&gt;/dev/null | sort -nr | sed -n "1p" | cut -d" " -f2-)
echo "FOLLOWING: $log"; echo
[ -n "$log" ] || { echo "No T29/T41/TOP3/P7 log found"; exit 1; }
tail -n +1 -F "$log"
'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18" hidden="0" customWidth="1"/>
  </x:cols>
  <x:sheetData>
    <x:row r="1">
      <x:c r="A1" s="56" t="str">
        <x:v>Parameter</x:v>
      </x:c>
      <x:c r="B1" s="56" t="str">
        <x:v>Default</x:v>
      </x:c>
      <x:c r="C1" s="56" t="str">
        <x:v>Fair-run value</x:v>
      </x:c>
      <x:c r="D1" s="56" t="str">
        <x:v>T29</x:v>
      </x:c>
      <x:c r="E1" s="56" t="str">
        <x:v>T41</x:v>
      </x:c>
      <x:c r="F1" s="56" t="str">
        <x:v>TOP3</x:v>
      </x:c>
      <x:c r="G1" s="56" t="str">
        <x:v>Category</x:v>
      </x:c>
      <x:c r="H1" s="56" t="str">
        <x:v>Applies to</x:v>
      </x:c>
    </x:row>
    <x:row r="2">
      <x:c r="A2" s="19" t="str">
        <x:v>RX_EMPTY_POLLS</x:v>
      </x:c>
      <x:c r="B2" s="19" t="str">
        <x:v>50000</x:v>
      </x:c>
      <x:c r="C2" s="19" t="str">
        <x:v>50000</x:v>
      </x:c>
      <x:c r="D2" s="19" t="str">
        <x:v>50000</x:v>
      </x:c>
      <x:c r="E2" s="19" t="str">
        <x:v>50000</x:v>
      </x:c>
      <x:c r="F2" s="19" t="str">
        <x:v>50000</x:v>
      </x:c>
      <x:c r="G2" s="19" t="str">
        <x:v>Idle eligibility</x:v>
      </x:c>
      <x:c r="H2" s="19" t="str">
        <x:v>BASIC + PLUS</x:v>
      </x:c>
    </x:row>
    <x:row r="3">
      <x:c r="A3" s="19" t="str">
        <x:v>TX_EMPTY_POLLS</x:v>
      </x:c>
      <x:c r="B3" s="19" t="str">
        <x:v>50000</x:v>
      </x:c>
      <x:c r="C3" s="19" t="str">
        <x:v>50000</x:v>
      </x:c>
      <x:c r="D3" s="19" t="str">
        <x:v>50000</x:v>
      </x:c>
      <x:c r="E3" s="19" t="str">
        <x:v>50000</x:v>
      </x:c>
      <x:c r="F3" s="19" t="str">
        <x:v>50000</x:v>
      </x:c>
      <x:c r="G3" s="19" t="str">
        <x:v>Idle eligibility</x:v>
      </x:c>
      <x:c r="H3" s="19" t="str">
        <x:v>BASIC + PLUS</x:v>
      </x:c>
    </x:row>
    <x:row r="4">
      <x:c r="A4" s="19" t="str">
        <x:v>RX_QUEUE_HIGH</x:v>
      </x:c>
      <x:c r="B4" s="19" t="str">
        <x:v>64</x:v>
      </x:c>
      <x:c r="C4" s="19" t="str">
        <x:v>64</x:v>
      </x:c>
      <x:c r="D4" s="19" t="str">
        <x:v>48</x:v>
      </x:c>
      <x:c r="E4" s="19" t="str">
        <x:v>64</x:v>
      </x:c>
      <x:c r="F4" s="19" t="str">
        <x:v>48</x:v>
      </x:c>
      <x:c r="G4" s="19" t="str">
        <x:v>Backlog normalization</x:v>
      </x:c>
      <x:c r="H4" s="19" t="str">
        <x:v>BASIC + PLUS</x:v>
      </x:c>
    </x:row>
    <x:row r="5">
      <x:c r="A5" s="19" t="str">
        <x:v>RX_QUEUE_SAMPLE_PERIOD</x:v>
      </x:c>
      <x:c r="B5" s="19" t="str">
        <x:v>64</x:v>
      </x:c>
      <x:c r="C5" s="19" t="str">
        <x:v>64</x:v>
      </x:c>
      <x:c r="D5" s="19" t="str">
        <x:v>64</x:v>
      </x:c>
      <x:c r="E5" s="19" t="str">
        <x:v>64</x:v>
      </x:c>
      <x:c r="F5" s="19" t="str">
        <x:v>64</x:v>
      </x:c>
      <x:c r="G5" s="19" t="str">
        <x:v>RX queue sampling</x:v>
      </x:c>
      <x:c r="H5" s="19" t="str">
        <x:v>BASIC + PLUS</x:v>
      </x:c>
    </x:row>
    <x:row r="6">
      <x:c r="A6" s="19" t="str">
        <x:v>TX_RING_HIGH</x:v>
      </x:c>
      <x:c r="B6" s="19" t="str">
        <x:v>64</x:v>
      </x:c>
      <x:c r="C6" s="19" t="str">
        <x:v>64</x:v>
      </x:c>
      <x:c r="D6" s="19" t="str">
        <x:v>64</x:v>
      </x:c>
      <x:c r="E6" s="19" t="str">
        <x:v>64</x:v>
      </x:c>
      <x:c r="F6" s="19" t="str">
        <x:v>64</x:v>
      </x:c>
      <x:c r="G6" s="19" t="str">
        <x:v>Backlog normalization</x:v>
      </x:c>
      <x:c r="H6" s="19" t="str">
        <x:v>BASIC + PLUS</x:v>
      </x:c>
    </x:row>
    <x:row r="7">
      <x:c r="A7" s="19" t="str">
        <x:v>PRESSURE_MAX</x:v>
      </x:c>
      <x:c r="B7" s="19" t="str">
        <x:v>900</x:v>
      </x:c>
      <x:c r="C7" s="19" t="str">
        <x:v>900</x:v>
      </x:c>
      <x:c r="D7" s="19" t="str">
        <x:v>900</x:v>
      </x:c>
      <x:c r="E7" s="19" t="str">
        <x:v>900</x:v>
      </x:c>
      <x:c r="F7" s="19" t="str">
        <x:v>900</x:v>
      </x:c>
      <x:c r="G7" s="19" t="str">
        <x:v>Pressure threshold</x:v>
      </x:c>
      <x:c r="H7" s="19" t="str">
        <x:v>BASIC + PLUS</x:v>
      </x:c>
    </x:row>
    <x:row r="8">
      <x:c r="A8" s="19" t="str">
        <x:v>PRESSURE_UP</x:v>
      </x:c>
      <x:c r="B8" s="19" t="str">
        <x:v>600</x:v>
      </x:c>
      <x:c r="C8" s="19" t="str">
        <x:v>600</x:v>
      </x:c>
      <x:c r="D8" s="19" t="str">
        <x:v>600</x:v>
      </x:c>
      <x:c r="E8" s="19" t="str">
        <x:v>600</x:v>
      </x:c>
      <x:c r="F8" s="19" t="str">
        <x:v>450</x:v>
      </x:c>
      <x:c r="G8" s="19" t="str">
        <x:v>Pressure threshold</x:v>
      </x:c>
      <x:c r="H8" s="19" t="str">
        <x:v>BASIC + PLUS</x:v>
      </x:c>
    </x:row>
    <x:row r="9">
      <x:c r="A9" s="19" t="str">
        <x:v>PRESSURE_KEEP</x:v>
      </x:c>
      <x:c r="B9" s="19" t="str">
        <x:v>250</x:v>
      </x:c>
      <x:c r="C9" s="19" t="str">
        <x:v>250</x:v>
      </x:c>
      <x:c r="D9" s="19" t="str">
        <x:v>250</x:v>
      </x:c>
      <x:c r="E9" s="19" t="str">
        <x:v>250</x:v>
      </x:c>
      <x:c r="F9" s="19" t="str">
        <x:v>250</x:v>
      </x:c>
      <x:c r="G9" s="19" t="str">
        <x:v>Pressure threshold</x:v>
      </x:c>
      <x:c r="H9" s="19" t="str">
        <x:v>BASIC + PLUS</x:v>
      </x:c>
    </x:row>
    <x:row r="10">
      <x:c r="A10" s="19" t="str">
        <x:v>FULL_BURST_COUNT</x:v>
      </x:c>
      <x:c r="B10" s="19" t="str">
        <x:v>8</x:v>
      </x:c>
      <x:c r="C10" s="19" t="str">
        <x:v>8</x:v>
      </x:c>
      <x:c r="D10" s="19" t="str">
        <x:v>8</x:v>
      </x:c>
      <x:c r="E10" s="19" t="str">
        <x:v>8</x:v>
      </x:c>
      <x:c r="F10" s="19" t="str">
        <x:v>8</x:v>
      </x:c>
      <x:c r="G10" s="19" t="str">
        <x:v>Burst guard</x:v>
      </x:c>
      <x:c r="H10" s="19" t="str">
        <x:v>BASIC + PLUS</x:v>
      </x:c>
    </x:row>
    <x:row r="11">
      <x:c r="A11" s="19" t="str">
        <x:v>FREQ_UP_PERIOD_US</x:v>
      </x:c>
      <x:c r="B11" s="19" t="str">
        <x:v>500</x:v>
      </x:c>
      <x:c r="C11" s="19" t="str">
        <x:v>500</x:v>
      </x:c>
      <x:c r="D11" s="19" t="str">
        <x:v>500</x:v>
      </x:c>
      <x:c r="E11" s="19" t="str">
        <x:v>500</x:v>
      </x:c>
      <x:c r="F11" s="19" t="str">
        <x:v>500</x:v>
      </x:c>
      <x:c r="G11" s="19" t="str">
        <x:v>DVFS timing</x:v>
      </x:c>
      <x:c r="H11" s="19" t="str">
        <x:v>BASIC + PLUS</x:v>
      </x:c>
    </x:row>
    <x:row r="12">
      <x:c r="A12" s="19" t="str">
        <x:v>FREQ_DOWN_PERIOD_US</x:v>
      </x:c>
      <x:c r="B12" s="19" t="str">
        <x:v>5000</x:v>
      </x:c>
      <x:c r="C12" s="19" t="str">
        <x:v>5000</x:v>
      </x:c>
      <x:c r="D12" s="19" t="str">
        <x:v>5000</x:v>
      </x:c>
      <x:c r="E12" s="19" t="str">
        <x:v>5000</x:v>
      </x:c>
      <x:c r="F12" s="19" t="str">
        <x:v>5000</x:v>
      </x:c>
      <x:c r="G12" s="19" t="str">
        <x:v>DVFS timing</x:v>
      </x:c>
      <x:c r="H12" s="19" t="str">
        <x:v>BASIC + PLUS</x:v>
      </x:c>
    </x:row>
    <x:row r="13">
      <x:c r="A13" s="19" t="str">
        <x:v>FREQ_MIN_IDLE_US</x:v>
      </x:c>
      <x:c r="B13" s="19" t="str">
        <x:v>20000</x:v>
      </x:c>
      <x:c r="C13" s="19" t="str">
        <x:v>20000</x:v>
      </x:c>
      <x:c r="D13" s="19" t="str">
        <x:v>20000</x:v>
      </x:c>
      <x:c r="E13" s="19" t="str">
        <x:v>20000</x:v>
      </x:c>
      <x:c r="F13" s="19" t="str">
        <x:v>20000</x:v>
      </x:c>
      <x:c r="G13" s="19" t="str">
        <x:v>DVFS timing</x:v>
      </x:c>
      <x:c r="H13" s="19" t="str">
        <x:v>BASIC + PLUS</x:v>
      </x:c>
    </x:row>
    <x:row r="14">
      <x:c r="A14" s="19" t="str">
        <x:v>ENABLE_FREQ</x:v>
      </x:c>
      <x:c r="B14" s="19" t="str">
        <x:v>1</x:v>
      </x:c>
      <x:c r="C14" s="19" t="str">
        <x:v>1</x:v>
      </x:c>
      <x:c r="D14" s="19" t="str">
        <x:v>1</x:v>
      </x:c>
      <x:c r="E14" s="19" t="str">
        <x:v>1</x:v>
      </x:c>
      <x:c r="F14" s="19" t="str">
        <x:v>1</x:v>
      </x:c>
      <x:c r="G14" s="19" t="str">
        <x:v>Feature gate</x:v>
      </x:c>
      <x:c r="H14" s="19" t="str">
        <x:v>BASIC + PLUS</x:v>
      </x:c>
    </x:row>
    <x:row r="15">
      <x:c r="A15" s="19" t="str">
        <x:v>ENABLE_SLEEP</x:v>
      </x:c>
      <x:c r="B15" s="19" t="str">
        <x:v>1</x:v>
      </x:c>
      <x:c r="C15" s="19" t="str">
        <x:v>1</x:v>
      </x:c>
      <x:c r="D15" s="19" t="str">
        <x:v>1</x:v>
      </x:c>
      <x:c r="E15" s="19" t="str">
        <x:v>1</x:v>
      </x:c>
      <x:c r="F15" s="19" t="str">
        <x:v>1</x:v>
      </x:c>
      <x:c r="G15" s="19" t="str">
        <x:v>Feature gate</x:v>
      </x:c>
      <x:c r="H15" s="19" t="str">
        <x:v>BASIC + PLUS</x:v>
      </x:c>
    </x:row>
    <x:row r="16">
      <x:c r="A16" s="19" t="str">
        <x:v>ENABLE_PAUSE</x:v>
      </x:c>
      <x:c r="B16" s="19" t="str">
        <x:v>1</x:v>
      </x:c>
      <x:c r="C16" s="19" t="str">
        <x:v>1</x:v>
      </x:c>
      <x:c r="D16" s="19" t="str">
        <x:v>1</x:v>
      </x:c>
      <x:c r="E16" s="19" t="str">
        <x:v>1</x:v>
      </x:c>
      <x:c r="F16" s="19" t="str">
        <x:v>1</x:v>
      </x:c>
      <x:c r="G16" s="19" t="str">
        <x:v>Feature gate</x:v>
      </x:c>
      <x:c r="H16" s="19" t="str">
        <x:v>BASIC + PLUS</x:v>
      </x:c>
    </x:row>
    <x:row r="17">
      <x:c r="A17" s="19" t="str">
        <x:v>KEEP_PAUSE_ITERATIONS</x:v>
      </x:c>
      <x:c r="B17" s="19" t="str">
        <x:v>1</x:v>
      </x:c>
      <x:c r="C17" s="19" t="str">
        <x:v>1</x:v>
      </x:c>
      <x:c r="D17" s="19" t="str">
        <x:v>1</x:v>
      </x:c>
      <x:c r="E17" s="19" t="str">
        <x:v>1</x:v>
      </x:c>
      <x:c r="F17" s="19" t="str">
        <x:v>1</x:v>
      </x:c>
      <x:c r="G17" s="19" t="str">
        <x:v>Idle/pause behavior</x:v>
      </x:c>
      <x:c r="H17" s="19" t="str">
        <x:v>BASIC + PLUS</x:v>
      </x:c>
    </x:row>
    <x:row r="18">
      <x:c r="A18" s="19" t="str">
        <x:v>SHORT_PAUSE_ITERATIONS</x:v>
      </x:c>
      <x:c r="B18" s="19" t="str">
        <x:v>1</x:v>
      </x:c>
      <x:c r="C18" s="19" t="str">
        <x:v>1</x:v>
      </x:c>
      <x:c r="D18" s="19" t="str">
        <x:v>1</x:v>
      </x:c>
      <x:c r="E18" s="19" t="str">
        <x:v>1</x:v>
      </x:c>
      <x:c r="F18" s="19" t="str">
        <x:v>1</x:v>
      </x:c>
      <x:c r="G18" s="19" t="str">
        <x:v>Idle/pause behavior</x:v>
      </x:c>
      <x:c r="H18" s="19" t="str">
        <x:v>BASIC + PLUS</x:v>
      </x:c>
    </x:row>
    <x:row r="19">
      <x:c r="A19" s="19" t="str">
        <x:v>IDLE_MODE</x:v>
      </x:c>
      <x:c r="B19" s="19" t="str">
        <x:v>epoll</x:v>
      </x:c>
      <x:c r="C19" s="19" t="str">
        <x:v>monitor (override)</x:v>
      </x:c>
      <x:c r="D19" s="19" t="str">
        <x:v>monitor (override)</x:v>
      </x:c>
      <x:c r="E19" s="19" t="str">
        <x:v>monitor (override)</x:v>
      </x:c>
      <x:c r="F19" s="19" t="str">
        <x:v>monitor (override)</x:v>
      </x:c>
      <x:c r="G19" s="19" t="str">
        <x:v>Idle mechanism default</x:v>
      </x:c>
      <x:c r="H19" s="19" t="str">
        <x:v>BASIC + PLUS</x:v>
      </x:c>
    </x:row>
    <x:row r="20">
      <x:c r="A20" s="19" t="str">
        <x:v>IDLE_FALLBACK</x:v>
      </x:c>
      <x:c r="B20" s="19" t="str">
        <x:v>short</x:v>
      </x:c>
      <x:c r="C20" s="19" t="str">
        <x:v>short (override)</x:v>
      </x:c>
      <x:c r="D20" s="19" t="str">
        <x:v>short (override)</x:v>
      </x:c>
      <x:c r="E20" s="19" t="str">
        <x:v>short (override)</x:v>
      </x:c>
      <x:c r="F20" s="19" t="str">
        <x:v>short (override)</x:v>
      </x:c>
      <x:c r="G20" s="19" t="str">
        <x:v>Idle mechanism fallback</x:v>
      </x:c>
      <x:c r="H20" s="19" t="str">
        <x:v>BASIC + PLUS</x:v>
      </x:c>
    </x:row>
    <x:row r="21">
      <x:c r="A21" s="19" t="str">
        <x:v>PRESSURE_SCALE</x:v>
      </x:c>
      <x:c r="B21" s="19" t="str">
        <x:v>1000</x:v>
      </x:c>
      <x:c r="C21" s="19" t="str">
        <x:v>1000</x:v>
      </x:c>
      <x:c r="D21" s="19" t="str">
        <x:v>1000</x:v>
      </x:c>
      <x:c r="E21" s="19" t="str">
        <x:v>1000</x:v>
      </x:c>
      <x:c r="F21" s="19" t="str">
        <x:v>1000</x:v>
      </x:c>
      <x:c r="G21" s="19" t="str">
        <x:v>Pressure scale</x:v>
      </x:c>
      <x:c r="H21" s="19" t="str">
        <x:v>BASIC + PLUS</x:v>
      </x:c>
    </x:row>
    <x:row r="22">
      <x:c r="A22" s="19" t="str">
        <x:v>RX_BURST_RISE_ALPHA_PERMILLE</x:v>
      </x:c>
      <x:c r="B22" s="19" t="str">
        <x:v>500</x:v>
      </x:c>
      <x:c r="C22" s="19" t="str">
        <x:v>500</x:v>
      </x:c>
      <x:c r="D22" s="19" t="str">
        <x:v>500</x:v>
      </x:c>
      <x:c r="E22" s="19" t="str">
        <x:v>500</x:v>
      </x:c>
      <x:c r="F22" s="19" t="str">
        <x:v>500</x:v>
      </x:c>
      <x:c r="G22" s="19" t="str">
        <x:v>EWMA smoothing</x:v>
      </x:c>
      <x:c r="H22" s="19" t="str">
        <x:v>BASIC + PLUS</x:v>
      </x:c>
    </x:row>
    <x:row r="23">
      <x:c r="A23" s="19" t="str">
        <x:v>RX_BURST_FALL_ALPHA_PERMILLE</x:v>
      </x:c>
      <x:c r="B23" s="19" t="str">
        <x:v>500</x:v>
      </x:c>
      <x:c r="C23" s="19" t="str">
        <x:v>500</x:v>
      </x:c>
      <x:c r="D23" s="19" t="str">
        <x:v>500</x:v>
      </x:c>
      <x:c r="E23" s="19" t="str">
        <x:v>500</x:v>
      </x:c>
      <x:c r="F23" s="19" t="str">
        <x:v>500</x:v>
      </x:c>
      <x:c r="G23" s="19" t="str">
        <x:v>EWMA smoothing</x:v>
      </x:c>
      <x:c r="H23" s="19" t="str">
        <x:v>BASIC + PLUS</x:v>
      </x:c>
    </x:row>
    <x:row r="24">
      <x:c r="A24" s="19" t="str">
        <x:v>RX_QUEUE_RISE_ALPHA_PERMILLE</x:v>
      </x:c>
      <x:c r="B24" s="19" t="str">
        <x:v>1000</x:v>
      </x:c>
      <x:c r="C24" s="19" t="str">
        <x:v>1000</x:v>
      </x:c>
      <x:c r="D24" s="19" t="str">
        <x:v>1000</x:v>
      </x:c>
      <x:c r="E24" s="19" t="str">
        <x:v>1000</x:v>
      </x:c>
      <x:c r="F24" s="19" t="str">
        <x:v>1000</x:v>
      </x:c>
      <x:c r="G24" s="19" t="str">
        <x:v>EWMA smoothing</x:v>
      </x:c>
      <x:c r="H24" s="19" t="str">
        <x:v>BASIC + PLUS</x:v>
      </x:c>
    </x:row>
    <x:row r="25">
      <x:c r="A25" s="19" t="str">
        <x:v>RX_QUEUE_FALL_ALPHA_PERMILLE</x:v>
      </x:c>
      <x:c r="B25" s="19" t="str">
        <x:v>250</x:v>
      </x:c>
      <x:c r="C25" s="19" t="str">
        <x:v>250</x:v>
      </x:c>
      <x:c r="D25" s="19" t="str">
        <x:v>250</x:v>
      </x:c>
      <x:c r="E25" s="19" t="str">
        <x:v>250</x:v>
      </x:c>
      <x:c r="F25" s="19" t="str">
        <x:v>250</x:v>
      </x:c>
      <x:c r="G25" s="19" t="str">
        <x:v>EWMA smoothing</x:v>
      </x:c>
      <x:c r="H25" s="19" t="str">
        <x:v>BASIC + PLUS</x:v>
      </x:c>
    </x:row>
    <x:row r="26">
      <x:c r="A26" s="19" t="str">
        <x:v>TX_BURST_RISE_ALPHA_PERMILLE</x:v>
      </x:c>
      <x:c r="B26" s="19" t="str">
        <x:v>500</x:v>
      </x:c>
      <x:c r="C26" s="19" t="str">
        <x:v>500</x:v>
      </x:c>
      <x:c r="D26" s="19" t="str">
        <x:v>500</x:v>
      </x:c>
      <x:c r="E26" s="19" t="str">
        <x:v>500</x:v>
      </x:c>
      <x:c r="F26" s="19" t="str">
        <x:v>500</x:v>
      </x:c>
      <x:c r="G26" s="19" t="str">
        <x:v>EWMA smoothing</x:v>
      </x:c>
      <x:c r="H26" s="19" t="str">
        <x:v>BASIC + PLUS</x:v>
      </x:c>
    </x:row>
    <x:row r="27">
      <x:c r="A27" s="19" t="str">
        <x:v>TX_BURST_FALL_ALPHA_PERMILLE</x:v>
      </x:c>
      <x:c r="B27" s="19" t="str">
        <x:v>500</x:v>
      </x:c>
      <x:c r="C27" s="19" t="str">
        <x:v>500</x:v>
      </x:c>
      <x:c r="D27" s="19" t="str">
        <x:v>500</x:v>
      </x:c>
      <x:c r="E27" s="19" t="str">
        <x:v>500</x:v>
      </x:c>
      <x:c r="F27" s="19" t="str">
        <x:v>500</x:v>
      </x:c>
      <x:c r="G27" s="19" t="str">
        <x:v>EWMA smoothing</x:v>
      </x:c>
      <x:c r="H27" s="19" t="str">
        <x:v>BASIC + PLUS</x:v>
      </x:c>
    </x:row>
    <x:row r="28">
      <x:c r="A28" s="19" t="str">
        <x:v>TX_RING_RISE_ALPHA_PERMILLE</x:v>
      </x:c>
      <x:c r="B28" s="19" t="str">
        <x:v>1000</x:v>
      </x:c>
      <x:c r="C28" s="19" t="str">
        <x:v>1000</x:v>
      </x:c>
      <x:c r="D28" s="19" t="str">
        <x:v>1000</x:v>
      </x:c>
      <x:c r="E28" s="19" t="str">
        <x:v>1000</x:v>
      </x:c>
      <x:c r="F28" s="19" t="str">
        <x:v>1000</x:v>
      </x:c>
      <x:c r="G28" s="19" t="str">
        <x:v>EWMA smoothing</x:v>
      </x:c>
      <x:c r="H28" s="19" t="str">
        <x:v>BASIC + PLUS</x:v>
      </x:c>
    </x:row>
    <x:row r="29">
      <x:c r="A29" s="19" t="str">
        <x:v>TX_RING_FALL_ALPHA_PERMILLE</x:v>
      </x:c>
      <x:c r="B29" s="19" t="str">
        <x:v>250</x:v>
      </x:c>
      <x:c r="C29" s="19" t="str">
        <x:v>250</x:v>
      </x:c>
      <x:c r="D29" s="19" t="str">
        <x:v>250</x:v>
      </x:c>
      <x:c r="E29" s="19" t="str">
        <x:v>250</x:v>
      </x:c>
      <x:c r="F29" s="19" t="str">
        <x:v>250</x:v>
      </x:c>
      <x:c r="G29" s="19" t="str">
        <x:v>EWMA smoothing</x:v>
      </x:c>
      <x:c r="H29" s="19" t="str">
        <x:v>BASIC + PLUS</x:v>
      </x:c>
    </x:row>
    <x:row r="30">
      <x:c r="A30" s="19" t="str">
        <x:v>FULL_BURST_FLOOR</x:v>
      </x:c>
      <x:c r="B30" s="19" t="str">
        <x:v>0</x:v>
      </x:c>
      <x:c r="C30" s="19" t="str">
        <x:v>0</x:v>
      </x:c>
      <x:c r="D30" s="19" t="str">
        <x:v>0</x:v>
      </x:c>
      <x:c r="E30" s="19" t="str">
        <x:v>0</x:v>
      </x:c>
      <x:c r="F30" s="19" t="str">
        <x:v>0</x:v>
      </x:c>
      <x:c r="G30" s="19" t="str">
        <x:v>Burst guard</x:v>
      </x:c>
      <x:c r="H30" s="19" t="str">
        <x:v>BASIC + PLUS</x:v>
      </x:c>
    </x:row>
    <x:row r="31">
      <x:c r="A31" s="19" t="str">
        <x:v>ACK_CLIENT_FLOOR</x:v>
      </x:c>
      <x:c r="B31" s="19" t="str">
        <x:v>600</x:v>
      </x:c>
      <x:c r="C31" s="19" t="str">
        <x:v>600</x:v>
      </x:c>
      <x:c r="D31" s="19" t="str">
        <x:v>600</x:v>
      </x:c>
      <x:c r="E31" s="19" t="str">
        <x:v>600</x:v>
      </x:c>
      <x:c r="F31" s="19" t="str">
        <x:v>600</x:v>
      </x:c>
      <x:c r="G31" s="19" t="str">
        <x:v>QUIC semantic floor</x:v>
      </x:c>
      <x:c r="H31" s="19" t="str">
        <x:v>PLUS only</x:v>
      </x:c>
    </x:row>
    <x:row r="32">
      <x:c r="A32" s="19" t="str">
        <x:v>ACK_OTHER_FLOOR</x:v>
      </x:c>
      <x:c r="B32" s="19" t="str">
        <x:v>550</x:v>
      </x:c>
      <x:c r="C32" s="19" t="str">
        <x:v>550</x:v>
      </x:c>
      <x:c r="D32" s="19" t="str">
        <x:v>550</x:v>
      </x:c>
      <x:c r="E32" s="19" t="str">
        <x:v>550</x:v>
      </x:c>
      <x:c r="F32" s="19" t="str">
        <x:v>550</x:v>
      </x:c>
      <x:c r="G32" s="19" t="str">
        <x:v>QUIC semantic floor</x:v>
      </x:c>
      <x:c r="H32" s="19" t="str">
        <x:v>PLUS only</x:v>
      </x:c>
    </x:row>
    <x:row r="33">
      <x:c r="A33" s="19" t="str">
        <x:v>ACK_RX_HARDMAX_THRESHOLD</x:v>
      </x:c>
      <x:c r="B33" s="19" t="str">
        <x:v>900</x:v>
      </x:c>
      <x:c r="C33" s="19" t="str">
        <x:v>900</x:v>
      </x:c>
      <x:c r="D33" s="19" t="str">
        <x:v>900</x:v>
      </x:c>
      <x:c r="E33" s="19" t="str">
        <x:v>900</x:v>
      </x:c>
      <x:c r="F33" s="19" t="str">
        <x:v>900</x:v>
      </x:c>
      <x:c r="G33" s="19" t="str">
        <x:v>QUIC semantic hard-max</x:v>
      </x:c>
      <x:c r="H33" s="19" t="str">
        <x:v>PLUS only</x:v>
      </x:c>
    </x:row>
    <x:row r="34">
      <x:c r="A34" s="19" t="str">
        <x:v>ENABLE_ACK_RX_HARDMAX</x:v>
      </x:c>
      <x:c r="B34" s="19" t="str">
        <x:v>1</x:v>
      </x:c>
      <x:c r="C34" s="19" t="str">
        <x:v>1</x:v>
      </x:c>
      <x:c r="D34" s="19" t="str">
        <x:v>1</x:v>
      </x:c>
      <x:c r="E34" s="19" t="str">
        <x:v>1</x:v>
      </x:c>
      <x:c r="F34" s="19" t="str">
        <x:v>1</x:v>
      </x:c>
      <x:c r="G34" s="19" t="str">
        <x:v>QUIC semantic gate</x:v>
      </x:c>
      <x:c r="H34" s="19" t="str">
        <x:v>PLUS only</x:v>
      </x:c>
    </x:row>
    <x:row r="35">
      <x:c r="A35" s="19" t="str">
        <x:v>ACK_BLOCKS_SLEEP</x:v>
      </x:c>
      <x:c r="B35" s="19" t="str">
        <x:v>1</x:v>
      </x:c>
      <x:c r="C35" s="19" t="str">
        <x:v>1</x:v>
      </x:c>
      <x:c r="D35" s="19" t="str">
        <x:v>1</x:v>
      </x:c>
      <x:c r="E35" s="19" t="str">
        <x:v>1</x:v>
      </x:c>
      <x:c r="F35" s="19" t="str">
        <x:v>1</x:v>
      </x:c>
      <x:c r="G35" s="19" t="str">
        <x:v>QUIC semantic sleep guard</x:v>
      </x:c>
      <x:c r="H35" s="19" t="str">
        <x:v>PLUS only</x:v>
      </x:c>
    </x:row>
    <x:row r="36">
      <x:c r="A36" s="19" t="str">
        <x:v>CWND_GROWTH_NO_WORK_FLOOR</x:v>
      </x:c>
      <x:c r="B36" s="19" t="str">
        <x:v>550</x:v>
      </x:c>
      <x:c r="C36" s="19" t="str">
        <x:v>550</x:v>
      </x:c>
      <x:c r="D36" s="19" t="str">
        <x:v>550</x:v>
      </x:c>
      <x:c r="E36" s="19" t="str">
        <x:v>550</x:v>
      </x:c>
      <x:c r="F36" s="19" t="str">
        <x:v>550</x:v>
      </x:c>
      <x:c r="G36" s="19" t="str">
        <x:v>QUIC semantic floor</x:v>
      </x:c>
      <x:c r="H36" s="19" t="str">
        <x:v>PLUS only</x:v>
      </x:c>
    </x:row>
    <x:row r="37">
      <x:c r="A37" s="19" t="str">
        <x:v>CWND_GROWTH_WORK_FLOOR</x:v>
      </x:c>
      <x:c r="B37" s="19" t="str">
        <x:v>600</x:v>
      </x:c>
      <x:c r="C37" s="19" t="str">
        <x:v>600</x:v>
      </x:c>
      <x:c r="D37" s="19" t="str">
        <x:v>600</x:v>
      </x:c>
      <x:c r="E37" s="19" t="str">
        <x:v>600</x:v>
      </x:c>
      <x:c r="F37" s="19" t="str">
        <x:v>600</x:v>
      </x:c>
      <x:c r="G37" s="19" t="str">
        <x:v>QUIC semantic floor</x:v>
      </x:c>
      <x:c r="H37" s="19" t="str">
        <x:v>PLUS only</x:v>
      </x:c>
    </x:row>
    <x:row r="38">
      <x:c r="A38" s="19" t="str">
        <x:v>CWND_GROWTH_PHYSICAL_THRESHOLD</x:v>
      </x:c>
      <x:c r="B38" s="19" t="str">
        <x:v>250</x:v>
      </x:c>
      <x:c r="C38" s="19" t="str">
        <x:v>250</x:v>
      </x:c>
      <x:c r="D38" s="19" t="str">
        <x:v>250</x:v>
      </x:c>
      <x:c r="E38" s="19" t="str">
        <x:v>250</x:v>
      </x:c>
      <x:c r="F38" s="19" t="str">
        <x:v>250</x:v>
      </x:c>
      <x:c r="G38" s="19" t="str">
        <x:v>QUIC semantic threshold</x:v>
      </x:c>
      <x:c r="H38" s="19" t="str">
        <x:v>PLUS only</x:v>
      </x:c>
    </x:row>
    <x:row r="39">
      <x:c r="A39" s="19" t="str">
        <x:v>CWND_GROWTH_BLOCKS_SLEEP</x:v>
      </x:c>
      <x:c r="B39" s="19" t="str">
        <x:v>1</x:v>
      </x:c>
      <x:c r="C39" s="19" t="str">
        <x:v>1</x:v>
      </x:c>
      <x:c r="D39" s="19" t="str">
        <x:v>1</x:v>
      </x:c>
      <x:c r="E39" s="19" t="str">
        <x:v>1</x:v>
      </x:c>
      <x:c r="F39" s="19" t="str">
        <x:v>1</x:v>
      </x:c>
      <x:c r="G39" s="19" t="str">
        <x:v>QUIC semantic sleep guard</x:v>
      </x:c>
      <x:c r="H39" s="19" t="str">
        <x:v>PLUS only</x:v>
      </x:c>
    </x:row>
    <x:row r="40">
      <x:c r="A40" s="19" t="str">
        <x:v>RECOVERY_FLOOR</x:v>
      </x:c>
      <x:c r="B40" s="19" t="str">
        <x:v>750</x:v>
      </x:c>
      <x:c r="C40" s="19" t="str">
        <x:v>750</x:v>
      </x:c>
      <x:c r="D40" s="19" t="str">
        <x:v>750</x:v>
      </x:c>
      <x:c r="E40" s="19" t="str">
        <x:v>750</x:v>
      </x:c>
      <x:c r="F40" s="19" t="str">
        <x:v>750</x:v>
      </x:c>
      <x:c r="G40" s="19" t="str">
        <x:v>QUIC semantic floor</x:v>
      </x:c>
      <x:c r="H40" s="19" t="str">
        <x:v>PLUS only</x:v>
      </x:c>
    </x:row>
    <x:row r="41">
      <x:c r="A41" s="19" t="str">
        <x:v>RECOVERY_HARDMAX_PHYSICAL_THRESHOLD</x:v>
      </x:c>
      <x:c r="B41" s="19" t="str">
        <x:v>600</x:v>
      </x:c>
      <x:c r="C41" s="19" t="str">
        <x:v>600</x:v>
      </x:c>
      <x:c r="D41" s="19" t="str">
        <x:v>600</x:v>
      </x:c>
      <x:c r="E41" s="19" t="str">
        <x:v>600</x:v>
      </x:c>
      <x:c r="F41" s="19" t="str">
        <x:v>600</x:v>
      </x:c>
      <x:c r="G41" s="19" t="str">
        <x:v>QUIC semantic hard-max</x:v>
      </x:c>
      <x:c r="H41" s="19" t="str">
        <x:v>PLUS only</x:v>
      </x:c>
    </x:row>
    <x:row r="42">
      <x:c r="A42" s="19" t="str">
        <x:v>ENABLE_RECOVERY_HARDMAX</x:v>
      </x:c>
      <x:c r="B42" s="19" t="str">
        <x:v>1</x:v>
      </x:c>
      <x:c r="C42" s="19" t="str">
        <x:v>1</x:v>
      </x:c>
      <x:c r="D42" s="19" t="str">
        <x:v>1</x:v>
      </x:c>
      <x:c r="E42" s="19" t="str">
        <x:v>1</x:v>
      </x:c>
      <x:c r="F42" s="19" t="str">
        <x:v>1</x:v>
      </x:c>
      <x:c r="G42" s="19" t="str">
        <x:v>QUIC semantic gate</x:v>
      </x:c>
      <x:c r="H42" s="19" t="str">
        <x:v>PLUS only</x:v>
      </x:c>
    </x:row>
    <x:row r="43">
      <x:c r="A43" s="19" t="str">
        <x:v>RECOVERY_BLOCKS_SLEEP</x:v>
      </x:c>
      <x:c r="B43" s="19" t="str">
        <x:v>1</x:v>
      </x:c>
      <x:c r="C43" s="19" t="str">
        <x:v>1</x:v>
      </x:c>
      <x:c r="D43" s="19" t="str">
        <x:v>1</x:v>
      </x:c>
      <x:c r="E43" s="19" t="str">
        <x:v>1</x:v>
      </x:c>
      <x:c r="F43" s="19" t="str">
        <x:v>1</x:v>
      </x:c>
      <x:c r="G43" s="19" t="str">
        <x:v>QUIC semantic sleep guard</x:v>
      </x:c>
      <x:c r="H43" s="19" t="str">
        <x:v>PLUS only</x:v>
      </x:c>
    </x:row>
    <x:row r="44">
      <x:c r="A44" s="19" t="str">
        <x:v>BLOCKED_RX_FLOOR</x:v>
      </x:c>
      <x:c r="B44" s="19" t="str">
        <x:v>0</x:v>
      </x:c>
      <x:c r="C44" s="19" t="str">
        <x:v>0</x:v>
      </x:c>
      <x:c r="D44" s="19" t="str">
        <x:v>0</x:v>
      </x:c>
      <x:c r="E44" s="19" t="str">
        <x:v>0</x:v>
      </x:c>
      <x:c r="F44" s="19" t="str">
        <x:v>0</x:v>
      </x:c>
      <x:c r="G44" s="19" t="str">
        <x:v>QUIC semantic floor</x:v>
      </x:c>
      <x:c r="H44" s="19" t="str">
        <x:v>PLUS only</x:v>
      </x:c>
    </x:row>
    <x:row r="45">
      <x:c r="A45" s="19" t="str">
        <x:v>BLOCKED_SLEEP_GUARD_LEVEL</x:v>
      </x:c>
      <x:c r="B45" s="19" t="str">
        <x:v>0</x:v>
      </x:c>
      <x:c r="C45" s="19" t="str">
        <x:v>0</x:v>
      </x:c>
      <x:c r="D45" s="19" t="str">
        <x:v>0</x:v>
      </x:c>
      <x:c r="E45" s="19" t="str">
        <x:v>0</x:v>
      </x:c>
      <x:c r="F45" s="19" t="str">
        <x:v>0</x:v>
      </x:c>
      <x:c r="G45" s="19" t="str">
        <x:v>QUIC semantic sleep guard</x:v>
      </x:c>
      <x:c r="H45" s="19" t="str">
        <x:v>PLUS only</x:v>
      </x:c>
    </x:row>
    <x:row r="46">
      <x:c r="A46" s="19" t="str">
        <x:v>ACTIVE_TRANSFER_SLEEP_MIN_LEVEL</x:v>
      </x:c>
      <x:c r="B46" s="19" t="str">
        <x:v>4</x:v>
      </x:c>
      <x:c r="C46" s="19" t="str">
        <x:v>4</x:v>
      </x:c>
      <x:c r="D46" s="19" t="str">
        <x:v>4</x:v>
      </x:c>
      <x:c r="E46" s="19" t="str">
        <x:v>16</x:v>
      </x:c>
      <x:c r="F46" s="19" t="str">
        <x:v>16</x:v>
      </x:c>
      <x:c r="G46" s="19" t="str">
        <x:v>Active-transfer sleep guard</x:v>
      </x:c>
      <x:c r="H46" s="19" t="str">
        <x:v>PLUS only</x:v>
      </x:c>
    </x:row>
    <x:row r="47">
      <x:c r="A47" s="19" t="str">
        <x:v>ENABLE_PHYSICAL_HARDMAX</x:v>
      </x:c>
      <x:c r="B47" s="19" t="str">
        <x:v>1</x:v>
      </x:c>
      <x:c r="C47" s="19" t="str">
        <x:v>1</x:v>
      </x:c>
      <x:c r="D47" s="19" t="str">
        <x:v>1</x:v>
      </x:c>
      <x:c r="E47" s="19" t="str">
        <x:v>1</x:v>
      </x:c>
      <x:c r="F47" s="19" t="str">
        <x:v>1</x:v>
      </x:c>
      <x:c r="G47" s="19" t="str">
        <x:v>Physical hard-max gate</x:v>
      </x:c>
      <x:c r="H47" s="19" t="str">
        <x:v>BASIC + PLUS</x:v>
      </x:c>
    </x:row>
    <x:row r="48">
      <x:c r="A48" s="19" t="str">
        <x:v>FREQ_PERIOD_US</x:v>
      </x:c>
      <x:c r="B48" s="19" t="str">
        <x:v>100000</x:v>
      </x:c>
      <x:c r="C48" s="19" t="str">
        <x:v>100000</x:v>
      </x:c>
      <x:c r="D48" s="19" t="str">
        <x:v>100000</x:v>
      </x:c>
      <x:c r="E48" s="19" t="str">
        <x:v>100000</x:v>
      </x:c>
      <x:c r="F48" s="19" t="str">
        <x:v>100000</x:v>
      </x:c>
      <x:c r="G48" s="19" t="str">
        <x:v>Policy timing</x:v>
      </x:c>
      <x:c r="H48" s="19" t="str">
        <x:v>BASIC + PLUS</x:v>
      </x:c>
    </x:row>
    <x:row r="49">
      <x:c r="A49" s="19" t="str">
        <x:v>NO_SLEEP_IF_TX_RING_NOT_EMPTY</x:v>
      </x:c>
      <x:c r="B49" s="19" t="str">
        <x:v>1</x:v>
      </x:c>
      <x:c r="C49" s="19" t="str">
        <x:v>1</x:v>
      </x:c>
      <x:c r="D49" s="19" t="str">
        <x:v>1</x:v>
      </x:c>
      <x:c r="E49" s="19" t="str">
        <x:v>1</x:v>
      </x:c>
      <x:c r="F49" s="19" t="str">
        <x:v>1</x:v>
      </x:c>
      <x:c r="G49" s="19" t="str">
        <x:v>Sleep safety guard</x:v>
      </x:c>
      <x:c r="H49" s="19" t="str">
        <x:v>BASIC + PLUS</x:v>
      </x:c>
    </x:row>
    <x:row r="50">
      <x:c r="A50" s="19" t="str">
        <x:v>TX_RING_PROTECT_UP</x:v>
      </x:c>
      <x:c r="B50" s="19" t="str">
        <x:v>1</x:v>
      </x:c>
      <x:c r="C50" s="19" t="str">
        <x:v>1</x:v>
      </x:c>
      <x:c r="D50" s="19" t="str">
        <x:v>1</x:v>
      </x:c>
      <x:c r="E50" s="19" t="str">
        <x:v>1</x:v>
      </x:c>
      <x:c r="F50" s="19" t="str">
        <x:v>1</x:v>
      </x:c>
      <x:c r="G50" s="19" t="str">
        <x:v>TX backlog protection</x:v>
      </x:c>
      <x:c r="H50" s="19" t="str">
        <x:v>BASIC + PLUS</x:v>
      </x:c>
    </x:row>
    <x:row r="51">
      <x:c r="A51" s="19" t="str">
        <x:v>SLEEP_SHORT_MIN_LEVEL</x:v>
      </x:c>
      <x:c r="B51" s="19" t="str">
        <x:v>2</x:v>
      </x:c>
      <x:c r="C51" s="19" t="str">
        <x:v>2</x:v>
      </x:c>
      <x:c r="D51" s="19" t="str">
        <x:v>2</x:v>
      </x:c>
      <x:c r="E51" s="19" t="str">
        <x:v>2</x:v>
      </x:c>
      <x:c r="F51" s="19" t="str">
        <x:v>2</x:v>
      </x:c>
      <x:c r="G51" s="19" t="str">
        <x:v>Sleep tier threshold</x:v>
      </x:c>
      <x:c r="H51" s="19" t="str">
        <x:v>BASIC + PLUS</x:v>
      </x:c>
    </x:row>
    <x:row r="52">
      <x:c r="A52" s="19" t="str">
        <x:v>SLEEP_DATA_MIN_LEVEL</x:v>
      </x:c>
      <x:c r="B52" s="19" t="str">
        <x:v>4</x:v>
      </x:c>
      <x:c r="C52" s="19" t="str">
        <x:v>4</x:v>
      </x:c>
      <x:c r="D52" s="19" t="str">
        <x:v>4</x:v>
      </x:c>
      <x:c r="E52" s="19" t="str">
        <x:v>4</x:v>
      </x:c>
      <x:c r="F52" s="19" t="str">
        <x:v>4</x:v>
      </x:c>
      <x:c r="G52" s="19" t="str">
        <x:v>Sleep tier threshold</x:v>
      </x:c>
      <x:c r="H52" s="19" t="str">
        <x:v>BASIC + PLUS</x:v>
      </x:c>
    </x:row>
    <x:row r="53">
      <x:c r="A53" s="19" t="str">
        <x:v>SLEEP_DEEP_MIN_LEVEL</x:v>
      </x:c>
      <x:c r="B53" s="19" t="str">
        <x:v>8</x:v>
      </x:c>
      <x:c r="C53" s="19" t="str">
        <x:v>8</x:v>
      </x:c>
      <x:c r="D53" s="19" t="str">
        <x:v>8</x:v>
      </x:c>
      <x:c r="E53" s="19" t="str">
        <x:v>8</x:v>
      </x:c>
      <x:c r="F53" s="19" t="str">
        <x:v>8</x:v>
      </x:c>
      <x:c r="G53" s="19" t="str">
        <x:v>Sleep tier threshold</x:v>
      </x:c>
      <x:c r="H53" s="19" t="str">
        <x:v>BASIC + PLUS</x:v>
      </x:c>
    </x:row>
    <x:row r="54">
      <x:c r="A54" s="19" t="str">
        <x:v>ACK_SLEEP_US</x:v>
      </x:c>
      <x:c r="B54" s="19" t="str">
        <x:v>1</x:v>
      </x:c>
      <x:c r="C54" s="19" t="str">
        <x:v>1</x:v>
      </x:c>
      <x:c r="D54" s="19" t="str">
        <x:v>1</x:v>
      </x:c>
      <x:c r="E54" s="19" t="str">
        <x:v>1</x:v>
      </x:c>
      <x:c r="F54" s="19" t="str">
        <x:v>1</x:v>
      </x:c>
      <x:c r="G54" s="19" t="str">
        <x:v>Bounded sleep</x:v>
      </x:c>
      <x:c r="H54" s="19" t="str">
        <x:v>BASIC + PLUS</x:v>
      </x:c>
    </x:row>
    <x:row r="55">
      <x:c r="A55" s="19" t="str">
        <x:v>DATA_SLEEP_US</x:v>
      </x:c>
      <x:c r="B55" s="19" t="str">
        <x:v>2</x:v>
      </x:c>
      <x:c r="C55" s="19" t="str">
        <x:v>2</x:v>
      </x:c>
      <x:c r="D55" s="19" t="str">
        <x:v>2</x:v>
      </x:c>
      <x:c r="E55" s="19" t="str">
        <x:v>2</x:v>
      </x:c>
      <x:c r="F55" s="19" t="str">
        <x:v>2</x:v>
      </x:c>
      <x:c r="G55" s="19" t="str">
        <x:v>Bounded sleep</x:v>
      </x:c>
      <x:c r="H55" s="19" t="str">
        <x:v>BASIC + PLUS</x:v>
      </x:c>
    </x:row>
    <x:row r="56">
      <x:c r="A56" s="19" t="str">
        <x:v>MAX_SLEEP_US</x:v>
      </x:c>
      <x:c r="B56" s="19" t="str">
        <x:v>2</x:v>
      </x:c>
      <x:c r="C56" s="19" t="str">
        <x:v>2</x:v>
      </x:c>
      <x:c r="D56" s="19" t="str">
        <x:v>2</x:v>
      </x:c>
      <x:c r="E56" s="19" t="str">
        <x:v>2</x:v>
      </x:c>
      <x:c r="F56" s="19" t="str">
        <x:v>2</x:v>
      </x:c>
      <x:c r="G56" s="19" t="str">
        <x:v>Bounded sleep</x:v>
      </x:c>
      <x:c r="H56" s="19" t="str">
        <x:v>BASIC + PLUS</x:v>
      </x:c>
    </x:row>
  </x:sheetData>
  <x:pageMargins left="0.7" right="0.7" top="0.75" bottom="0.75" header="0.3" footer="0.3"/>
</x:worksheet>
</file>
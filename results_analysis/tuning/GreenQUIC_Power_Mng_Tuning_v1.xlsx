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emohsen/Documents/QUIC/MSQUIC/Final_Results_Aug_19/execls/"/>
    </mc:Choice>
  </mc:AlternateContent>
  <xr:revisionPtr revIDLastSave="0" documentId="13_ncr:20001_{8DCA954A-59CB-0C43-8DD0-7C465420489D}" xr6:coauthVersionLast="47" xr6:coauthVersionMax="47" xr10:uidLastSave="{00000000-0000-0000-0000-000000000000}"/>
  <bookViews>
    <workbookView xWindow="0" yWindow="600" windowWidth="40960" windowHeight="21000" xr2:uid="{00000000-000D-0000-FFFF-FFFF00000000}"/>
  </bookViews>
  <sheets>
    <sheet name="General" sheetId="1" r:id="rId1"/>
    <sheet name="Policy Path" sheetId="2" r:id="rId2"/>
    <sheet name="Full Power Config" sheetId="9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4" i="1" l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<sst xmlns="http://schemas.openxmlformats.org/spreadsheetml/2006/main" count="1181" uniqueCount="410">
  <si>
    <t>Rank PLUS</t>
  </si>
  <si>
    <t>Rank PLUS D1</t>
  </si>
  <si>
    <t>Rank PLUS D2+</t>
  </si>
  <si>
    <t>Valid</t>
  </si>
  <si>
    <t>Experiment type</t>
  </si>
  <si>
    <t>Test</t>
  </si>
  <si>
    <t>Configuration</t>
  </si>
  <si>
    <t>Category</t>
  </si>
  <si>
    <t>Date</t>
  </si>
  <si>
    <t>Timestamp</t>
  </si>
  <si>
    <t>Runs planned</t>
  </si>
  <si>
    <t>Runs complete</t>
  </si>
  <si>
    <t>Downloads / run</t>
  </si>
  <si>
    <t>Total completed downloads</t>
  </si>
  <si>
    <t>Modes</t>
  </si>
  <si>
    <t>Change(s)</t>
  </si>
  <si>
    <t>From</t>
  </si>
  <si>
    <t>To</t>
  </si>
  <si>
    <t>OFF mean</t>
  </si>
  <si>
    <t>BASIC mean</t>
  </si>
  <si>
    <t>PLUS mean</t>
  </si>
  <si>
    <t>PLUS SD</t>
  </si>
  <si>
    <t>PLUS CV %</t>
  </si>
  <si>
    <t>PLUS vs OFF %</t>
  </si>
  <si>
    <t>PLUS D1</t>
  </si>
  <si>
    <t>PLUS D2+</t>
  </si>
  <si>
    <t>PLUS D2</t>
  </si>
  <si>
    <t>PLUS D3</t>
  </si>
  <si>
    <t>PLUS D4</t>
  </si>
  <si>
    <t>PLUS D5</t>
  </si>
  <si>
    <t>Commit</t>
  </si>
  <si>
    <t>Evidence path</t>
  </si>
  <si>
    <t>Notes</t>
  </si>
  <si>
    <t>Yes</t>
  </si>
  <si>
    <t>50-config sweep</t>
  </si>
  <si>
    <t>T29</t>
  </si>
  <si>
    <t>rxQueueHigh48</t>
  </si>
  <si>
    <t>Backlog / burst guards</t>
  </si>
  <si>
    <t>PLUS only</t>
  </si>
  <si>
    <t>RX_QUEUE_HIGH=48</t>
  </si>
  <si>
    <t>RX_QUEUE_HIGH=64</t>
  </si>
  <si>
    <t>35331bbd17f09c809ebd201c8fd4902d670e343d</t>
  </si>
  <si>
    <t>mohsen/greenquic_test_suite_v22/test_cases/pretests/P5_repeated_8GiB_downloads/matrix_results/P5_PLUS_SWEEP50_5RUNS_20260818_184913/T29_rxQueueHigh48.runner.log</t>
  </si>
  <si>
    <t>Complete 5-run result.</t>
  </si>
  <si>
    <t>T41</t>
  </si>
  <si>
    <t>activeSleep16</t>
  </si>
  <si>
    <t>Idle / sleep</t>
  </si>
  <si>
    <t>ACTIVE_TRANSFER_SLEEP_MIN_LEVEL=16</t>
  </si>
  <si>
    <t>ACTIVE_TRANSFER_SLEEP_MIN_LEVEL=4</t>
  </si>
  <si>
    <t>mohsen/greenquic_test_suite_v22/test_cases/pretests/P5_repeated_8GiB_downloads/matrix_results/P5_PLUS_SWEEP50_5RUNS_20260818_184913/T41_activeSleep16.runner.log</t>
  </si>
  <si>
    <t>T07</t>
  </si>
  <si>
    <t>up450</t>
  </si>
  <si>
    <t>Pressure thresholds</t>
  </si>
  <si>
    <t>PRESSURE_UP=450</t>
  </si>
  <si>
    <t>PRESSURE_UP=600</t>
  </si>
  <si>
    <t>mohsen/greenquic_test_suite_v22/test_cases/pretests/P5_repeated_8GiB_downloads/matrix_results/P5_PLUS_SWEEP50_5RUNS_20260818_184913/T07_up450.runner.log</t>
  </si>
  <si>
    <t>T50</t>
  </si>
  <si>
    <t>allAggressive</t>
  </si>
  <si>
    <t>Combined policies</t>
  </si>
  <si>
    <t>PRESSURE_MAX=750
PRESSURE_UP=250
PRESSURE_KEEP=100
FREQ_UP_PERIOD_US=125
FREQ...</t>
  </si>
  <si>
    <t>PRESSURE_MAX=900
PRESSURE_UP=600
PRESSURE_KEEP=250
FREQ_...</t>
  </si>
  <si>
    <t>PRESSURE_MAX=750
PRESSURE_UP=250
PRESSURE_KEEP=100
FREQ_...</t>
  </si>
  <si>
    <t>mohsen/greenquic_test_suite_v22/test_cases/pretests/P5_repeated_8GiB_downloads/matrix_results/P5_PLUS_SWEEP50_5RUNS_20260818_184913/T50_allAggressive.runner.log</t>
  </si>
  <si>
    <t>T18</t>
  </si>
  <si>
    <t>downPeriod20000</t>
  </si>
  <si>
    <t>DVFS timing</t>
  </si>
  <si>
    <t>FREQ_DOWN_PERIOD_US=20000</t>
  </si>
  <si>
    <t>FREQ_DOWN_PERIOD_US=5000</t>
  </si>
  <si>
    <t>mohsen/greenquic_test_suite_v22/test_cases/pretests/P5_repeated_8GiB_downloads/matrix_results/P5_PLUS_SWEEP50_5RUNS_20260818_184913/T18_downPeriod20000.runner.log</t>
  </si>
  <si>
    <t>T06</t>
  </si>
  <si>
    <t>up500</t>
  </si>
  <si>
    <t>PRESSURE_UP=500</t>
  </si>
  <si>
    <t>mohsen/greenquic_test_suite_v22/test_cases/pretests/P5_repeated_8GiB_downloads/matrix_results/P5_PLUS_SWEEP50_5RUNS_20260818_184913/T06_up500.runner.log</t>
  </si>
  <si>
    <t>T49</t>
  </si>
  <si>
    <t>strongBacklogIdle</t>
  </si>
  <si>
    <t>PRESSURE_MAX=800
PRESSURE_UP=350
PRESSURE_KEEP=150
FREQ_UP_PERIOD_US=250
FREQ...</t>
  </si>
  <si>
    <t>PRESSURE_MAX=800
PRESSURE_UP=350
PRESSURE_KEEP=150
FREQ_...</t>
  </si>
  <si>
    <t>mohsen/greenquic_test_suite_v22/test_cases/pretests/P5_repeated_8GiB_downloads/matrix_results/P5_PLUS_SWEEP50_5RUNS_20260818_184913/T49_strongBacklogIdle.runner.log</t>
  </si>
  <si>
    <t>T30</t>
  </si>
  <si>
    <t>rxQueueHigh32</t>
  </si>
  <si>
    <t>RX_QUEUE_HIGH=32</t>
  </si>
  <si>
    <t>mohsen/greenquic_test_suite_v22/test_cases/pretests/P5_repeated_8GiB_downloads/matrix_results/P5_PLUS_SWEEP50_5RUNS_20260818_184913/T30_rxQueueHigh32.runner.log</t>
  </si>
  <si>
    <t>T19</t>
  </si>
  <si>
    <t>minIdle30ms</t>
  </si>
  <si>
    <t>FREQ_MIN_IDLE_US=30000</t>
  </si>
  <si>
    <t>FREQ_MIN_IDLE_US=20000</t>
  </si>
  <si>
    <t>mohsen/greenquic_test_suite_v22/test_cases/pretests/P5_repeated_8GiB_downloads/matrix_results/P5_PLUS_SWEEP50_5RUNS_20260818_184913/T19_minIdle30ms.runner.log</t>
  </si>
  <si>
    <t>T36</t>
  </si>
  <si>
    <t>fullBurst800</t>
  </si>
  <si>
    <t>FULL_BURST_COUNT=2
FULL_BURST_FLOOR=800</t>
  </si>
  <si>
    <t>FULL_BURST_COUNT=8
FULL_BURST_FLOOR=0</t>
  </si>
  <si>
    <t>mohsen/greenquic_test_suite_v22/test_cases/pretests/P5_repeated_8GiB_downloads/matrix_results/P5_PLUS_SWEEP50_5RUNS_20260818_184913/T36_fullBurst800.runner.log</t>
  </si>
  <si>
    <t>T28</t>
  </si>
  <si>
    <t>backlogFall125</t>
  </si>
  <si>
    <t>EWMA smoothing</t>
  </si>
  <si>
    <t>RX_QUEUE_FALL_ALPHA_PERMILLE=125
TX_RING_FALL_ALPHA_PERMILLE=125</t>
  </si>
  <si>
    <t>RX_QUEUE_FALL_ALPHA_PERMILLE=250
TX_RING_FALL_ALPHA_PERMILLE=250</t>
  </si>
  <si>
    <t>mohsen/greenquic_test_suite_v22/test_cases/pretests/P5_repeated_8GiB_downloads/matrix_results/P5_PLUS_SWEEP50_5RUNS_20260818_184913/T28_backlogFall125.runner.log</t>
  </si>
  <si>
    <t>T35</t>
  </si>
  <si>
    <t>fullBurst600</t>
  </si>
  <si>
    <t>FULL_BURST_COUNT=4
FULL_BURST_FLOOR=600</t>
  </si>
  <si>
    <t>mohsen/greenquic_test_suite_v22/test_cases/pretests/P5_repeated_8GiB_downloads/matrix_results/P5_PLUS_SWEEP50_5RUNS_20260818_184913/T35_fullBurst600.runner.log</t>
  </si>
  <si>
    <t>Focused 6×5 validation</t>
  </si>
  <si>
    <t>Focused validation</t>
  </si>
  <si>
    <t>OFF + BASIC + PLUS</t>
  </si>
  <si>
    <t>b1b6a4b6bba3ed70b4a52955f0a638a3307046c8</t>
  </si>
  <si>
    <t>mohsen/greenquic_test_suite_v22/test_cases/pretests/P5_repeated_8GiB_downloads/matrix_results/T29_20260819_044527/tables/single_run_comparison_averages.csv</t>
  </si>
  <si>
    <t>Complete 6-run × 5-download focused validation; balanced OFF/BASIC/PLUS order.</t>
  </si>
  <si>
    <t>T24</t>
  </si>
  <si>
    <t>burstRise1000</t>
  </si>
  <si>
    <t>RX_BURST_RISE_ALPHA_PERMILLE=1000
TX_BURST_RISE_ALPHA_PERMILLE=1000</t>
  </si>
  <si>
    <t>RX_BURST_RISE_ALPHA_PERMILLE=500
TX_BURST_RISE_ALPHA_PERMILLE=500</t>
  </si>
  <si>
    <t>RX_BURST_RISE_ALPHA_PERMILLE=1000
TX_BURST_RISE_ALPHA_PERMILLE=...</t>
  </si>
  <si>
    <t>mohsen/greenquic_test_suite_v22/test_cases/pretests/P5_repeated_8GiB_downloads/matrix_results/P5_PLUS_SWEEP50_5RUNS_20260818_184913/T24_burstRise1000.runner.log</t>
  </si>
  <si>
    <t>T12</t>
  </si>
  <si>
    <t>keep100</t>
  </si>
  <si>
    <t>PRESSURE_KEEP=100</t>
  </si>
  <si>
    <t>PRESSURE_KEEP=250</t>
  </si>
  <si>
    <t>mohsen/greenquic_test_suite_v22/test_cases/pretests/P5_repeated_8GiB_downloads/matrix_results/P5_PLUS_SWEEP50_5RUNS_20260818_184913/T12_keep100.runner.log</t>
  </si>
  <si>
    <t>T37</t>
  </si>
  <si>
    <t>empty75k</t>
  </si>
  <si>
    <t>RX_EMPTY_POLLS=75000
TX_EMPTY_POLLS=75000</t>
  </si>
  <si>
    <t>RX_EMPTY_POLLS=50000
TX_EMPTY_POLLS=50000</t>
  </si>
  <si>
    <t>mohsen/greenquic_test_suite_v22/test_cases/pretests/P5_repeated_8GiB_downloads/matrix_results/P5_PLUS_SWEEP50_5RUNS_20260818_184913/T37_empty75k.runner.log</t>
  </si>
  <si>
    <t>T48</t>
  </si>
  <si>
    <t>previousStrong</t>
  </si>
  <si>
    <t>mohsen/greenquic_test_suite_v22/test_cases/pretests/P5_repeated_8GiB_downloads/matrix_results/P5_PLUS_SWEEP50_5RUNS_20260818_184913/T48_previousStrong.runner.log</t>
  </si>
  <si>
    <t>T14</t>
  </si>
  <si>
    <t>upPeriod250</t>
  </si>
  <si>
    <t>FREQ_UP_PERIOD_US=250</t>
  </si>
  <si>
    <t>FREQ_UP_PERIOD_US=500</t>
  </si>
  <si>
    <t>mohsen/greenquic_test_suite_v22/test_cases/pretests/P5_repeated_8GiB_downloads/matrix_results/P5_PLUS_SWEEP50_5RUNS_20260818_184913/T14_upPeriod250.runner.log</t>
  </si>
  <si>
    <t>T46</t>
  </si>
  <si>
    <t>recoveryAggressive</t>
  </si>
  <si>
    <t>PLUS QUIC-semantic hints</t>
  </si>
  <si>
    <t>RECOVERY_FLOOR=800
RECOVERY_HARDMAX_PHYSICAL_THRESHOLD=500</t>
  </si>
  <si>
    <t>RECOVERY_FLOOR=750
RECOVERY_HARDMAX_PHYSICAL_THRESHOLD=600</t>
  </si>
  <si>
    <t>mohsen/greenquic_test_suite_v22/test_cases/pretests/P5_repeated_8GiB_downloads/matrix_results/P5_PLUS_SWEEP50_5RUNS_20260818_184913/T46_recoveryAggressive.runner.log</t>
  </si>
  <si>
    <t>T03</t>
  </si>
  <si>
    <t>max800</t>
  </si>
  <si>
    <t>PRESSURE_MAX=800</t>
  </si>
  <si>
    <t>PRESSURE_MAX=900</t>
  </si>
  <si>
    <t>mohsen/greenquic_test_suite_v22/test_cases/pretests/P5_repeated_8GiB_downloads/matrix_results/P5_PLUS_SWEEP50_5RUNS_20260818_184913/T03_max800.runner.log</t>
  </si>
  <si>
    <t>T33</t>
  </si>
  <si>
    <t>rxQueueSample32</t>
  </si>
  <si>
    <t>RX_QUEUE_SAMPLE_PERIOD=32</t>
  </si>
  <si>
    <t>RX_QUEUE_SAMPLE_PERIOD=64</t>
  </si>
  <si>
    <t>mohsen/greenquic_test_suite_v22/test_cases/pretests/P5_repeated_8GiB_downloads/matrix_results/P5_PLUS_SWEEP50_5RUNS_20260818_184913/T33_rxQueueSample32.runner.log</t>
  </si>
  <si>
    <t>T32</t>
  </si>
  <si>
    <t>txRingHigh32</t>
  </si>
  <si>
    <t>TX_RING_HIGH=32</t>
  </si>
  <si>
    <t>TX_RING_HIGH=64</t>
  </si>
  <si>
    <t>mohsen/greenquic_test_suite_v22/test_cases/pretests/P5_repeated_8GiB_downloads/matrix_results/P5_PLUS_SWEEP50_5RUNS_20260818_184913/T32_txRingHigh32.runner.log</t>
  </si>
  <si>
    <t>T17</t>
  </si>
  <si>
    <t>downPeriod10000</t>
  </si>
  <si>
    <t>FREQ_DOWN_PERIOD_US=10000</t>
  </si>
  <si>
    <t>mohsen/greenquic_test_suite_v22/test_cases/pretests/P5_repeated_8GiB_downloads/matrix_results/P5_PLUS_SWEEP50_5RUNS_20260818_184913/T17_downPeriod10000.runner.log</t>
  </si>
  <si>
    <t>T13</t>
  </si>
  <si>
    <t>upPeriod400</t>
  </si>
  <si>
    <t>FREQ_UP_PERIOD_US=400</t>
  </si>
  <si>
    <t>mohsen/greenquic_test_suite_v22/test_cases/pretests/P5_repeated_8GiB_downloads/matrix_results/P5_PLUS_SWEEP50_5RUNS_20260818_184913/T13_upPeriod400.runner.log</t>
  </si>
  <si>
    <t>T20</t>
  </si>
  <si>
    <t>minIdle50ms</t>
  </si>
  <si>
    <t>FREQ_MIN_IDLE_US=50000</t>
  </si>
  <si>
    <t>mohsen/greenquic_test_suite_v22/test_cases/pretests/P5_repeated_8GiB_downloads/matrix_results/P5_PLUS_SWEEP50_5RUNS_20260818_184913/T20_minIdle50ms.runner.log</t>
  </si>
  <si>
    <t>T10</t>
  </si>
  <si>
    <t>keep200</t>
  </si>
  <si>
    <t>PRESSURE_KEEP=200</t>
  </si>
  <si>
    <t>mohsen/greenquic_test_suite_v22/test_cases/pretests/P5_repeated_8GiB_downloads/matrix_results/P5_PLUS_SWEEP50_5RUNS_20260818_184913/T10_keep200.runner.log</t>
  </si>
  <si>
    <t>T04</t>
  </si>
  <si>
    <t>max750</t>
  </si>
  <si>
    <t>PRESSURE_MAX=750</t>
  </si>
  <si>
    <t>mohsen/greenquic_test_suite_v22/test_cases/pretests/P5_repeated_8GiB_downloads/matrix_results/P5_PLUS_SWEEP50_5RUNS_20260818_184913/T04_max750.runner.log</t>
  </si>
  <si>
    <t>T26</t>
  </si>
  <si>
    <t>burstFall250</t>
  </si>
  <si>
    <t>RX_BURST_FALL_ALPHA_PERMILLE=250
TX_BURST_FALL_ALPHA_PERMILLE=250</t>
  </si>
  <si>
    <t>RX_BURST_FALL_ALPHA_PERMILLE=500
TX_BURST_FALL_ALPHA_PERMILLE=500</t>
  </si>
  <si>
    <t>mohsen/greenquic_test_suite_v22/test_cases/pretests/P5_repeated_8GiB_downloads/matrix_results/P5_PLUS_SWEEP50_5RUNS_20260818_184913/T26_burstFall250.runner.log</t>
  </si>
  <si>
    <t>T23</t>
  </si>
  <si>
    <t>burstRise750</t>
  </si>
  <si>
    <t>RX_BURST_RISE_ALPHA_PERMILLE=750
TX_BURST_RISE_ALPHA_PERMILLE=750</t>
  </si>
  <si>
    <t>mohsen/greenquic_test_suite_v22/test_cases/pretests/P5_repeated_8GiB_downloads/matrix_results/P5_PLUS_SWEEP50_5RUNS_20260818_184913/T23_burstRise750.runner.log</t>
  </si>
  <si>
    <t>T05</t>
  </si>
  <si>
    <t>max700</t>
  </si>
  <si>
    <t>PRESSURE_MAX=700</t>
  </si>
  <si>
    <t>mohsen/greenquic_test_suite_v22/test_cases/pretests/P5_repeated_8GiB_downloads/matrix_results/P5_PLUS_SWEEP50_5RUNS_20260818_184913/T05_max700.runner.log</t>
  </si>
  <si>
    <t>T15</t>
  </si>
  <si>
    <t>upPeriod125</t>
  </si>
  <si>
    <t>FREQ_UP_PERIOD_US=125</t>
  </si>
  <si>
    <t>mohsen/greenquic_test_suite_v22/test_cases/pretests/P5_repeated_8GiB_downloads/matrix_results/P5_PLUS_SWEEP50_5RUNS_20260818_184913/T15_upPeriod125.runner.log</t>
  </si>
  <si>
    <t>T08</t>
  </si>
  <si>
    <t>up350</t>
  </si>
  <si>
    <t>PRESSURE_UP=350</t>
  </si>
  <si>
    <t>mohsen/greenquic_test_suite_v22/test_cases/pretests/P5_repeated_8GiB_downloads/matrix_results/P5_PLUS_SWEEP50_5RUNS_20260818_184913/T08_up350.runner.log</t>
  </si>
  <si>
    <t>T34</t>
  </si>
  <si>
    <t>rxQueueSample16</t>
  </si>
  <si>
    <t>RX_QUEUE_SAMPLE_PERIOD=16</t>
  </si>
  <si>
    <t>mohsen/greenquic_test_suite_v22/test_cases/pretests/P5_repeated_8GiB_downloads/matrix_results/P5_PLUS_SWEEP50_5RUNS_20260818_184913/T34_rxQueueSample16.runner.log</t>
  </si>
  <si>
    <t>T16</t>
  </si>
  <si>
    <t>downPeriod7500</t>
  </si>
  <si>
    <t>FREQ_DOWN_PERIOD_US=7500</t>
  </si>
  <si>
    <t>mohsen/greenquic_test_suite_v22/test_cases/pretests/P5_repeated_8GiB_downloads/matrix_results/P5_PLUS_SWEEP50_5RUNS_20260818_184913/T16_downPeriod7500.runner.log</t>
  </si>
  <si>
    <t>T02</t>
  </si>
  <si>
    <t>max850</t>
  </si>
  <si>
    <t>PRESSURE_MAX=850</t>
  </si>
  <si>
    <t>mohsen/greenquic_test_suite_v22/test_cases/pretests/P5_repeated_8GiB_downloads/matrix_results/P5_PLUS_SWEEP50_5RUNS_20260818_184913/T02_max850.runner.log</t>
  </si>
  <si>
    <t>TOP3</t>
  </si>
  <si>
    <t>up450 + rxQueueHigh48 + activeSleep16</t>
  </si>
  <si>
    <t>PRESSURE_UP=450
RX_QUEUE_HIGH=48
ACTIVE_TRANSFER_SLEEP_MIN_LEVEL=16</t>
  </si>
  <si>
    <t>PRESSURE_UP=600
RX_QUEUE_HIGH=64
ACTIVE_TRANSFER_SLEEP_MIN_LEVEL=4</t>
  </si>
  <si>
    <t>5e6d88f33b26790f0318f2039add7c3410b58d31</t>
  </si>
  <si>
    <t>mohsen/greenquic_test_suite_v22/test_cases/pretests/P5_repeated_8GiB_downloads/matrix_results/TOP3_20260819_093528/tables/single_run_comparison_averages.csv</t>
  </si>
  <si>
    <t>T22</t>
  </si>
  <si>
    <t>burstRise625</t>
  </si>
  <si>
    <t>RX_BURST_RISE_ALPHA_PERMILLE=625
TX_BURST_RISE_ALPHA_PERMILLE=625</t>
  </si>
  <si>
    <t>mohsen/greenquic_test_suite_v22/test_cases/pretests/P5_repeated_8GiB_downloads/matrix_results/P5_PLUS_SWEEP50_5RUNS_20260818_184913/T22_burstRise625.runner.log</t>
  </si>
  <si>
    <t>T43</t>
  </si>
  <si>
    <t>zeroBoundedSleep</t>
  </si>
  <si>
    <t>ACK_SLEEP_US=0
DATA_SLEEP_US=0
MAX_SLEEP_US=0</t>
  </si>
  <si>
    <t>ACK_SLEEP_US=1
DATA_SLEEP_US=2
MAX_SLEEP_US=2</t>
  </si>
  <si>
    <t>mohsen/greenquic_test_suite_v22/test_cases/pretests/P5_repeated_8GiB_downloads/matrix_results/P5_PLUS_SWEEP50_5RUNS_20260818_184913/T43_zeroBoundedSleep.runner.log</t>
  </si>
  <si>
    <t>mohsen/greenquic_test_suite_v22/test_cases/pretests/P5_repeated_8GiB_downloads/matrix_results/T41_20260819_093528/tables/single_run_comparison_averages.csv</t>
  </si>
  <si>
    <t>T01</t>
  </si>
  <si>
    <t>baseline</t>
  </si>
  <si>
    <t>Baseline</t>
  </si>
  <si>
    <t>Defaults (no parameter override)</t>
  </si>
  <si>
    <t>—</t>
  </si>
  <si>
    <t>mohsen/greenquic_test_suite_v22/test_cases/pretests/P5_repeated_8GiB_downloads/matrix_results/P5_PLUS_SWEEP50_5RUNS_20260818_184913/T01_baseline.runner.log</t>
  </si>
  <si>
    <t>T11</t>
  </si>
  <si>
    <t>keep150</t>
  </si>
  <si>
    <t>PRESSURE_KEEP=150</t>
  </si>
  <si>
    <t>mohsen/greenquic_test_suite_v22/test_cases/pretests/P5_repeated_8GiB_downloads/matrix_results/P5_PLUS_SWEEP50_5RUNS_20260818_184913/T11_keep150.runner.log</t>
  </si>
  <si>
    <t>T39</t>
  </si>
  <si>
    <t>empty200k</t>
  </si>
  <si>
    <t>RX_EMPTY_POLLS=200000
TX_EMPTY_POLLS=200000</t>
  </si>
  <si>
    <t>mohsen/greenquic_test_suite_v22/test_cases/pretests/P5_repeated_8GiB_downloads/matrix_results/P5_PLUS_SWEEP50_5RUNS_20260818_184913/T39_empty200k.runner.log</t>
  </si>
  <si>
    <t>T21</t>
  </si>
  <si>
    <t>minIdle100ms</t>
  </si>
  <si>
    <t>FREQ_MIN_IDLE_US=100000</t>
  </si>
  <si>
    <t>mohsen/greenquic_test_suite_v22/test_cases/pretests/P5_repeated_8GiB_downloads/matrix_results/P5_PLUS_SWEEP50_5RUNS_20260818_184913/T21_minIdle100ms.runner.log</t>
  </si>
  <si>
    <t>T09</t>
  </si>
  <si>
    <t>up250</t>
  </si>
  <si>
    <t>PRESSURE_UP=250</t>
  </si>
  <si>
    <t>mohsen/greenquic_test_suite_v22/test_cases/pretests/P5_repeated_8GiB_downloads/matrix_results/P5_PLUS_SWEEP50_5RUNS_20260818_184913/T09_up250.runner.log</t>
  </si>
  <si>
    <t>No</t>
  </si>
  <si>
    <t>T25</t>
  </si>
  <si>
    <t>burstFall375</t>
  </si>
  <si>
    <t>RX_BURST_FALL_ALPHA_PERMILLE=375
TX_BURST_FALL_ALPHA_PERMILLE=375</t>
  </si>
  <si>
    <t>mohsen/greenquic_test_suite_v22/test_cases/pretests/P5_repeated_8GiB_downloads/matrix_results/P5_PLUS_SWEEP50_5RUNS_20260818_184913/T25_burstFall375.runner.log</t>
  </si>
  <si>
    <t>FAIL rc=141. Post-run/bundling SIGPIPE class; measurement is incomplete. Completed client PLUS logs found: 2/5.</t>
  </si>
  <si>
    <t>T27</t>
  </si>
  <si>
    <t>burstFall125</t>
  </si>
  <si>
    <t>RX_BURST_FALL_ALPHA_PERMILLE=125
TX_BURST_FALL_ALPHA_PERMILLE=125</t>
  </si>
  <si>
    <t>mohsen/greenquic_test_suite_v22/test_cases/pretests/P5_repeated_8GiB_downloads/matrix_results/P5_PLUS_SWEEP50_5RUNS_20260818_184913/T27_burstFall125.runner.log</t>
  </si>
  <si>
    <t>FAIL rc=141. Post-run/bundling SIGPIPE class; measurement is incomplete. Completed client PLUS logs found: 3/5.</t>
  </si>
  <si>
    <t>T31</t>
  </si>
  <si>
    <t>txRingHigh48</t>
  </si>
  <si>
    <t>TX_RING_HIGH=48</t>
  </si>
  <si>
    <t>mohsen/greenquic_test_suite_v22/test_cases/pretests/P5_repeated_8GiB_downloads/matrix_results/P5_PLUS_SWEEP50_5RUNS_20260818_184913/T31_txRingHigh48.runner.log</t>
  </si>
  <si>
    <t>T38</t>
  </si>
  <si>
    <t>empty100k</t>
  </si>
  <si>
    <t>RX_EMPTY_POLLS=100000
TX_EMPTY_POLLS=100000</t>
  </si>
  <si>
    <t>mohsen/greenquic_test_suite_v22/test_cases/pretests/P5_repeated_8GiB_downloads/matrix_results/P5_PLUS_SWEEP50_5RUNS_20260818_184913/T38_empty100k.runner.log</t>
  </si>
  <si>
    <t>FAIL rc=141. Post-run/bundling SIGPIPE class; measurement is incomplete. Completed client PLUS logs found: 4/5.</t>
  </si>
  <si>
    <t>T40</t>
  </si>
  <si>
    <t>activeSleep8</t>
  </si>
  <si>
    <t>ACTIVE_TRANSFER_SLEEP_MIN_LEVEL=8</t>
  </si>
  <si>
    <t>mohsen/greenquic_test_suite_v22/test_cases/pretests/P5_repeated_8GiB_downloads/matrix_results/P5_PLUS_SWEEP50_5RUNS_20260818_184913/T40_activeSleep8.runner.log</t>
  </si>
  <si>
    <t>T42</t>
  </si>
  <si>
    <t>sleepLevelsHigher</t>
  </si>
  <si>
    <t>SLEEP_SHORT_MIN_LEVEL=4
SLEEP_DATA_MIN_LEVEL=8
SLEEP_DEEP_MIN_LEVEL=16</t>
  </si>
  <si>
    <t>SLEEP_SHORT_MIN_LEVEL=2
SLEEP_DATA_MIN_LEVEL=4
SLEEP_DEEP_MIN_LEVEL...</t>
  </si>
  <si>
    <t>SLEEP_SHORT_MIN_LEVEL=4
SLEEP_DATA_MIN_LEVEL=8
SLEEP_DEEP_MIN_LEVEL...</t>
  </si>
  <si>
    <t>mohsen/greenquic_test_suite_v22/test_cases/pretests/P5_repeated_8GiB_downloads/matrix_results/P5_PLUS_SWEEP50_5RUNS_20260818_184913/T42_sleepLevelsHigher.runner.log</t>
  </si>
  <si>
    <t>T44</t>
  </si>
  <si>
    <t>ackAggressive</t>
  </si>
  <si>
    <t>ACK_CLIENT_FLOOR=700
ACK_OTHER_FLOOR=650
ACK_RX_HARDMAX_THRESHOLD=800</t>
  </si>
  <si>
    <t>ACK_CLIENT_FLOOR=600
ACK_OTHER_FLOOR=550
ACK_RX_HARDMAX_THRESHO...</t>
  </si>
  <si>
    <t>ACK_CLIENT_FLOOR=700
ACK_OTHER_FLOOR=650
ACK_RX_HARDMAX_THRESHO...</t>
  </si>
  <si>
    <t>mohsen/greenquic_test_suite_v22/test_cases/pretests/P5_repeated_8GiB_downloads/matrix_results/P5_PLUS_SWEEP50_5RUNS_20260818_184913/T44_ackAggressive.runner.log</t>
  </si>
  <si>
    <t>FAIL rc=141. Post-run/bundling SIGPIPE class; measurement is incomplete. Completed client PLUS logs found: 1/5.</t>
  </si>
  <si>
    <t>T45</t>
  </si>
  <si>
    <t>cwndAggressive</t>
  </si>
  <si>
    <t>CWND_GROWTH_NO_WORK_FLOOR=650
CWND_GROWTH_WORK_FLOOR=700
CWND_GROWTH_PHYSICAL...</t>
  </si>
  <si>
    <t>CWND_GROWTH_NO_WORK_FLOOR=550
CWND_GROWTH_WORK_FLOOR=600
CWND_G...</t>
  </si>
  <si>
    <t>CWND_GROWTH_NO_WORK_FLOOR=650
CWND_GROWTH_WORK_FLOOR=700
CWND_G...</t>
  </si>
  <si>
    <t>mohsen/greenquic_test_suite_v22/test_cases/pretests/P5_repeated_8GiB_downloads/matrix_results/P5_PLUS_SWEEP50_5RUNS_20260818_184913/T45_cwndAggressive.runner.log</t>
  </si>
  <si>
    <t>T47</t>
  </si>
  <si>
    <t>blockedAggressive</t>
  </si>
  <si>
    <t>BLOCKED_RX_FLOOR=600
BLOCKED_SLEEP_GUARD_LEVEL=4</t>
  </si>
  <si>
    <t>BLOCKED_RX_FLOOR=0
BLOCKED_SLEEP_GUARD_LEVEL=0</t>
  </si>
  <si>
    <t>mohsen/greenquic_test_suite_v22/test_cases/pretests/P5_repeated_8GiB_downloads/matrix_results/P5_PLUS_SWEEP50_5RUNS_20260818_184913/T47_blockedAggressive.runner.log</t>
  </si>
  <si>
    <t>Power-Policy Path from Fair Default to Final Focused Candidates</t>
  </si>
  <si>
    <t>Parameter</t>
  </si>
  <si>
    <t>Fair/default</t>
  </si>
  <si>
    <t>Applies to</t>
  </si>
  <si>
    <t>PRESSURE_UP</t>
  </si>
  <si>
    <t>600</t>
  </si>
  <si>
    <t>450</t>
  </si>
  <si>
    <t>BASIC + PLUS</t>
  </si>
  <si>
    <t>RX_QUEUE_HIGH</t>
  </si>
  <si>
    <t>64</t>
  </si>
  <si>
    <t>48</t>
  </si>
  <si>
    <t>ACTIVE_TRANSFER_SLEEP_MIN_LEVEL</t>
  </si>
  <si>
    <t>4</t>
  </si>
  <si>
    <t>16</t>
  </si>
  <si>
    <t>IDLE_MODE</t>
  </si>
  <si>
    <t>monitor</t>
  </si>
  <si>
    <t>IDLE_FALLBACK</t>
  </si>
  <si>
    <t>short</t>
  </si>
  <si>
    <t>FREQ_PERIOD_US</t>
  </si>
  <si>
    <t>10000</t>
  </si>
  <si>
    <t>Sweep PLUS mean</t>
  </si>
  <si>
    <t>Sweep SD</t>
  </si>
  <si>
    <t>Sweep CV %</t>
  </si>
  <si>
    <t>Focused PLUS mean</t>
  </si>
  <si>
    <t>Focused OFF mean</t>
  </si>
  <si>
    <t>Focused BASIC mean</t>
  </si>
  <si>
    <t>Combination of T07 + T29 + T41</t>
  </si>
  <si>
    <t>Full GreenQUIC Power-Manager Configuration</t>
  </si>
  <si>
    <t>Static default</t>
  </si>
  <si>
    <t>Fair-run value</t>
  </si>
  <si>
    <t>RX_EMPTY_POLLS</t>
  </si>
  <si>
    <t>50000</t>
  </si>
  <si>
    <t>Idle eligibility</t>
  </si>
  <si>
    <t>TX_EMPTY_POLLS</t>
  </si>
  <si>
    <t>Backlog normalization</t>
  </si>
  <si>
    <t>RX_QUEUE_SAMPLE_PERIOD</t>
  </si>
  <si>
    <t>RX queue sampling</t>
  </si>
  <si>
    <t>TX_RING_HIGH</t>
  </si>
  <si>
    <t>PRESSURE_MAX</t>
  </si>
  <si>
    <t>900</t>
  </si>
  <si>
    <t>Pressure threshold</t>
  </si>
  <si>
    <t>PRESSURE_KEEP</t>
  </si>
  <si>
    <t>250</t>
  </si>
  <si>
    <t>FULL_BURST_COUNT</t>
  </si>
  <si>
    <t>8</t>
  </si>
  <si>
    <t>Burst guard</t>
  </si>
  <si>
    <t>FREQ_UP_PERIOD_US</t>
  </si>
  <si>
    <t>500</t>
  </si>
  <si>
    <t>FREQ_DOWN_PERIOD_US</t>
  </si>
  <si>
    <t>5000</t>
  </si>
  <si>
    <t>FREQ_MIN_IDLE_US</t>
  </si>
  <si>
    <t>20000</t>
  </si>
  <si>
    <t>ENABLE_FREQ</t>
  </si>
  <si>
    <t>1</t>
  </si>
  <si>
    <t>Feature gate</t>
  </si>
  <si>
    <t>ENABLE_SLEEP</t>
  </si>
  <si>
    <t>ENABLE_PAUSE</t>
  </si>
  <si>
    <t>KEEP_PAUSE_ITERATIONS</t>
  </si>
  <si>
    <t>Idle/pause behavior</t>
  </si>
  <si>
    <t>SHORT_PAUSE_ITERATIONS</t>
  </si>
  <si>
    <t>epoll</t>
  </si>
  <si>
    <t>monitor (override)</t>
  </si>
  <si>
    <t>Idle mechanism default</t>
  </si>
  <si>
    <t>short (override)</t>
  </si>
  <si>
    <t>Idle mechanism fallback</t>
  </si>
  <si>
    <t>PRESSURE_SCALE</t>
  </si>
  <si>
    <t>1000</t>
  </si>
  <si>
    <t>Pressure scale</t>
  </si>
  <si>
    <t>RX_BURST_RISE_ALPHA_PERMILLE</t>
  </si>
  <si>
    <t>RX_BURST_FALL_ALPHA_PERMILLE</t>
  </si>
  <si>
    <t>RX_QUEUE_RISE_ALPHA_PERMILLE</t>
  </si>
  <si>
    <t>RX_QUEUE_FALL_ALPHA_PERMILLE</t>
  </si>
  <si>
    <t>TX_BURST_RISE_ALPHA_PERMILLE</t>
  </si>
  <si>
    <t>TX_BURST_FALL_ALPHA_PERMILLE</t>
  </si>
  <si>
    <t>TX_RING_RISE_ALPHA_PERMILLE</t>
  </si>
  <si>
    <t>TX_RING_FALL_ALPHA_PERMILLE</t>
  </si>
  <si>
    <t>FULL_BURST_FLOOR</t>
  </si>
  <si>
    <t>0</t>
  </si>
  <si>
    <t>ACK_CLIENT_FLOOR</t>
  </si>
  <si>
    <t>QUIC semantic floor</t>
  </si>
  <si>
    <t>ACK_OTHER_FLOOR</t>
  </si>
  <si>
    <t>550</t>
  </si>
  <si>
    <t>ACK_RX_HARDMAX_THRESHOLD</t>
  </si>
  <si>
    <t>QUIC semantic hard-max</t>
  </si>
  <si>
    <t>ENABLE_ACK_RX_HARDMAX</t>
  </si>
  <si>
    <t>QUIC semantic gate</t>
  </si>
  <si>
    <t>ACK_BLOCKS_SLEEP</t>
  </si>
  <si>
    <t>QUIC semantic sleep guard</t>
  </si>
  <si>
    <t>CWND_GROWTH_NO_WORK_FLOOR</t>
  </si>
  <si>
    <t>CWND_GROWTH_WORK_FLOOR</t>
  </si>
  <si>
    <t>CWND_GROWTH_PHYSICAL_THRESHOLD</t>
  </si>
  <si>
    <t>QUIC semantic threshold</t>
  </si>
  <si>
    <t>CWND_GROWTH_BLOCKS_SLEEP</t>
  </si>
  <si>
    <t>RECOVERY_FLOOR</t>
  </si>
  <si>
    <t>750</t>
  </si>
  <si>
    <t>RECOVERY_HARDMAX_PHYSICAL_THRESHOLD</t>
  </si>
  <si>
    <t>ENABLE_RECOVERY_HARDMAX</t>
  </si>
  <si>
    <t>RECOVERY_BLOCKS_SLEEP</t>
  </si>
  <si>
    <t>BLOCKED_RX_FLOOR</t>
  </si>
  <si>
    <t>BLOCKED_SLEEP_GUARD_LEVEL</t>
  </si>
  <si>
    <t>Active-transfer sleep guard</t>
  </si>
  <si>
    <t>ENABLE_PHYSICAL_HARDMAX</t>
  </si>
  <si>
    <t>Physical hard-max gate</t>
  </si>
  <si>
    <t>100000</t>
  </si>
  <si>
    <t>Policy timing</t>
  </si>
  <si>
    <t>NO_SLEEP_IF_TX_RING_NOT_EMPTY</t>
  </si>
  <si>
    <t>Sleep safety guard</t>
  </si>
  <si>
    <t>TX_RING_PROTECT_UP</t>
  </si>
  <si>
    <t>TX backlog protection</t>
  </si>
  <si>
    <t>SLEEP_SHORT_MIN_LEVEL</t>
  </si>
  <si>
    <t>2</t>
  </si>
  <si>
    <t>Sleep tier threshold</t>
  </si>
  <si>
    <t>SLEEP_DATA_MIN_LEVEL</t>
  </si>
  <si>
    <t>SLEEP_DEEP_MIN_LEVEL</t>
  </si>
  <si>
    <t>ACK_SLEEP_US</t>
  </si>
  <si>
    <t>Bounded sleep</t>
  </si>
  <si>
    <t>DATA_SLEEP_US</t>
  </si>
  <si>
    <t>MAX_SLEEP_US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</si>
</sst>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23B4A"/>
      </patternFill>
    </fill>
    <fill>
      <patternFill patternType="solid">
        <fgColor rgb="FF1D6074"/>
      </patternFill>
    </fill>
    <fill>
      <patternFill patternType="solid">
        <fgColor rgb="FFDDF4E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44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werTuningGeneralTable" displayName="PowerTuningGeneralTable" ref="A1:AG54" totalsRowShown="0" dataDxfId="43" dataCellStyle="Normal">
  <tableColumns count="33">
    <tableColumn id="1" xr3:uid="{00000000-0010-0000-0000-000001000000}" name="Rank PLUS" dataDxfId="41" dataCellStyle="Normal"/>
    <tableColumn id="2" xr3:uid="{00000000-0010-0000-0000-000002000000}" name="Rank PLUS D1" dataDxfId="40" dataCellStyle="Normal"/>
    <tableColumn id="3" xr3:uid="{00000000-0010-0000-0000-000003000000}" name="Rank PLUS D2+" dataDxfId="39" dataCellStyle="Normal"/>
    <tableColumn id="4" xr3:uid="{00000000-0010-0000-0000-000004000000}" name="Valid" dataDxfId="38" dataCellStyle="Normal"/>
    <tableColumn id="5" xr3:uid="{00000000-0010-0000-0000-000005000000}" name="Experiment type" dataDxfId="37" dataCellStyle="Normal"/>
    <tableColumn id="6" xr3:uid="{00000000-0010-0000-0000-000006000000}" name="Test" dataDxfId="36" dataCellStyle="Normal"/>
    <tableColumn id="7" xr3:uid="{00000000-0010-0000-0000-000007000000}" name="Configuration" dataDxfId="35" dataCellStyle="Normal"/>
    <tableColumn id="8" xr3:uid="{00000000-0010-0000-0000-000008000000}" name="Category" dataDxfId="34" dataCellStyle="Normal"/>
    <tableColumn id="9" xr3:uid="{00000000-0010-0000-0000-000009000000}" name="Date" dataDxfId="33" dataCellStyle="Normal"/>
    <tableColumn id="10" xr3:uid="{00000000-0010-0000-0000-00000A000000}" name="Timestamp" dataDxfId="32" dataCellStyle="Normal"/>
    <tableColumn id="11" xr3:uid="{00000000-0010-0000-0000-00000B000000}" name="Runs planned" dataDxfId="31" dataCellStyle="Normal"/>
    <tableColumn id="12" xr3:uid="{00000000-0010-0000-0000-00000C000000}" name="Runs complete" dataDxfId="30" dataCellStyle="Normal"/>
    <tableColumn id="13" xr3:uid="{00000000-0010-0000-0000-00000D000000}" name="Downloads / run" dataDxfId="29" dataCellStyle="Normal"/>
    <tableColumn id="14" xr3:uid="{00000000-0010-0000-0000-00000E000000}" name="Total completed downloads" dataDxfId="28" dataCellStyle="Normal"/>
    <tableColumn id="15" xr3:uid="{00000000-0010-0000-0000-00000F000000}" name="Modes" dataDxfId="27" dataCellStyle="Normal"/>
    <tableColumn id="19" xr3:uid="{00000000-0010-0000-0000-000013000000}" name="OFF mean" dataDxfId="26" dataCellStyle="Normal"/>
    <tableColumn id="20" xr3:uid="{00000000-0010-0000-0000-000014000000}" name="BASIC mean" dataDxfId="25" dataCellStyle="Normal"/>
    <tableColumn id="21" xr3:uid="{00000000-0010-0000-0000-000015000000}" name="PLUS mean" dataDxfId="24" dataCellStyle="Normal"/>
    <tableColumn id="16" xr3:uid="{00000000-0010-0000-0000-000010000000}" name="Change(s)" dataDxfId="23" dataCellStyle="Normal"/>
    <tableColumn id="17" xr3:uid="{00000000-0010-0000-0000-000011000000}" name="From" dataDxfId="22" dataCellStyle="Normal"/>
    <tableColumn id="18" xr3:uid="{00000000-0010-0000-0000-000012000000}" name="To" dataDxfId="21" dataCellStyle="Normal"/>
    <tableColumn id="22" xr3:uid="{00000000-0010-0000-0000-000016000000}" name="PLUS SD" dataDxfId="20" dataCellStyle="Normal"/>
    <tableColumn id="23" xr3:uid="{00000000-0010-0000-0000-000017000000}" name="PLUS CV %" dataDxfId="19" dataCellStyle="Normal"/>
    <tableColumn id="24" xr3:uid="{00000000-0010-0000-0000-000018000000}" name="PLUS vs OFF %" dataDxfId="18" dataCellStyle="Normal"/>
    <tableColumn id="25" xr3:uid="{00000000-0010-0000-0000-000019000000}" name="PLUS D1" dataDxfId="17" dataCellStyle="Normal"/>
    <tableColumn id="26" xr3:uid="{00000000-0010-0000-0000-00001A000000}" name="PLUS D2+" dataDxfId="16" dataCellStyle="Normal"/>
    <tableColumn id="27" xr3:uid="{00000000-0010-0000-0000-00001B000000}" name="PLUS D2" dataDxfId="15" dataCellStyle="Normal"/>
    <tableColumn id="28" xr3:uid="{00000000-0010-0000-0000-00001C000000}" name="PLUS D3" dataDxfId="14" dataCellStyle="Normal"/>
    <tableColumn id="29" xr3:uid="{00000000-0010-0000-0000-00001D000000}" name="PLUS D4" dataDxfId="13" dataCellStyle="Normal"/>
    <tableColumn id="30" xr3:uid="{00000000-0010-0000-0000-00001E000000}" name="PLUS D5" dataDxfId="12" dataCellStyle="Normal"/>
    <tableColumn id="31" xr3:uid="{00000000-0010-0000-0000-00001F000000}" name="Commit" dataDxfId="11" dataCellStyle="Normal"/>
    <tableColumn id="32" xr3:uid="{00000000-0010-0000-0000-000020000000}" name="Evidence path" dataDxfId="10" dataCellStyle="Normal"/>
    <tableColumn id="33" xr3:uid="{00000000-0010-0000-0000-000021000000}" name="Notes" dataDxfId="9" dataCellStyle="Norm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ullPowerConfigTable" displayName="FullPowerConfigTable" ref="A2:H57" totalsRowShown="0" headerRowDxfId="0" dataDxfId="42">
  <tableColumns count="8">
    <tableColumn id="1" xr3:uid="{00000000-0010-0000-0700-000001000000}" name="Parameter" dataDxfId="8"/>
    <tableColumn id="2" xr3:uid="{00000000-0010-0000-0700-000002000000}" name="Static default" dataDxfId="7"/>
    <tableColumn id="3" xr3:uid="{00000000-0010-0000-0700-000003000000}" name="Fair-run value" dataDxfId="6"/>
    <tableColumn id="4" xr3:uid="{00000000-0010-0000-0700-000004000000}" name="T29" dataDxfId="5"/>
    <tableColumn id="5" xr3:uid="{00000000-0010-0000-0700-000005000000}" name="T41" dataDxfId="4"/>
    <tableColumn id="6" xr3:uid="{00000000-0010-0000-0700-000006000000}" name="TOP3" dataDxfId="3"/>
    <tableColumn id="7" xr3:uid="{00000000-0010-0000-0700-000007000000}" name="Category" dataDxfId="2"/>
    <tableColumn id="8" xr3:uid="{00000000-0010-0000-0700-000008000000}" name="Applies t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4"/>
  <sheetViews>
    <sheetView tabSelected="1" workbookViewId="0">
      <selection activeCell="P2" sqref="P2"/>
    </sheetView>
  </sheetViews>
  <sheetFormatPr baseColWidth="10" defaultColWidth="8.83203125" defaultRowHeight="15"/>
  <cols>
    <col min="1" max="3" width="3.1640625" bestFit="1" customWidth="1"/>
    <col min="4" max="4" width="4.33203125" bestFit="1" customWidth="1"/>
    <col min="5" max="5" width="20.1640625" bestFit="1" customWidth="1"/>
    <col min="6" max="6" width="6" bestFit="1" customWidth="1"/>
    <col min="7" max="7" width="35" bestFit="1" customWidth="1"/>
    <col min="8" max="8" width="23.6640625" bestFit="1" customWidth="1"/>
    <col min="9" max="9" width="6.1640625" bestFit="1" customWidth="1"/>
    <col min="10" max="10" width="12.1640625" bestFit="1" customWidth="1"/>
    <col min="11" max="13" width="2.1640625" bestFit="1" customWidth="1"/>
    <col min="14" max="14" width="3.1640625" bestFit="1" customWidth="1"/>
    <col min="15" max="15" width="19.1640625" bestFit="1" customWidth="1"/>
    <col min="16" max="18" width="12.1640625" bestFit="1" customWidth="1"/>
    <col min="19" max="19" width="102" bestFit="1" customWidth="1"/>
    <col min="20" max="21" width="84.5" bestFit="1" customWidth="1"/>
    <col min="25" max="30" width="12.1640625" bestFit="1" customWidth="1"/>
    <col min="31" max="31" width="64" customWidth="1"/>
    <col min="32" max="32" width="172.83203125" customWidth="1"/>
    <col min="33" max="33" width="108.83203125" customWidth="1"/>
    <col min="34" max="34" width="41.5" bestFit="1" customWidth="1"/>
    <col min="35" max="35" width="158.5" bestFit="1" customWidth="1"/>
    <col min="36" max="36" width="97" bestFit="1" customWidth="1"/>
  </cols>
  <sheetData>
    <row r="1" spans="1:33" ht="5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18</v>
      </c>
      <c r="Q1" s="1" t="s">
        <v>19</v>
      </c>
      <c r="R1" s="1" t="s">
        <v>20</v>
      </c>
      <c r="S1" s="1" t="s">
        <v>15</v>
      </c>
      <c r="T1" s="1" t="s">
        <v>16</v>
      </c>
      <c r="U1" s="1" t="s">
        <v>17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>
        <v>1</v>
      </c>
      <c r="B2" s="2">
        <v>4</v>
      </c>
      <c r="C2" s="2">
        <v>4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>
        <v>46252</v>
      </c>
      <c r="J2" s="2">
        <v>46252.822688321758</v>
      </c>
      <c r="K2" s="2">
        <v>5</v>
      </c>
      <c r="L2" s="2">
        <v>5</v>
      </c>
      <c r="M2" s="2">
        <v>5</v>
      </c>
      <c r="N2" s="2">
        <f t="shared" ref="N2:N33" si="0">IF(OR(L2="",M2=""),"",L2*M2)</f>
        <v>25</v>
      </c>
      <c r="O2" s="2" t="s">
        <v>38</v>
      </c>
      <c r="P2" s="2"/>
      <c r="Q2" s="2"/>
      <c r="R2" s="2">
        <v>10.272991063272885</v>
      </c>
      <c r="S2" s="2" t="s">
        <v>39</v>
      </c>
      <c r="T2" s="2" t="s">
        <v>40</v>
      </c>
      <c r="U2" s="2" t="s">
        <v>39</v>
      </c>
      <c r="V2" s="2">
        <v>0.14734467494727141</v>
      </c>
      <c r="W2" s="2">
        <v>1.4342918633896746</v>
      </c>
      <c r="X2" s="2"/>
      <c r="Y2" s="2">
        <v>9.406087321055697</v>
      </c>
      <c r="Z2" s="2">
        <v>10.520399233279511</v>
      </c>
      <c r="AA2" s="2">
        <v>10.498931166336565</v>
      </c>
      <c r="AB2" s="2">
        <v>10.537886222076112</v>
      </c>
      <c r="AC2" s="2">
        <v>10.518831754046291</v>
      </c>
      <c r="AD2" s="2">
        <v>10.526345398011824</v>
      </c>
      <c r="AE2" s="2" t="s">
        <v>41</v>
      </c>
      <c r="AF2" s="2" t="s">
        <v>42</v>
      </c>
      <c r="AG2" s="2" t="s">
        <v>43</v>
      </c>
    </row>
    <row r="3" spans="1:33">
      <c r="A3" s="2">
        <v>2</v>
      </c>
      <c r="B3" s="2">
        <v>7</v>
      </c>
      <c r="C3" s="2">
        <v>1</v>
      </c>
      <c r="D3" s="2" t="s">
        <v>33</v>
      </c>
      <c r="E3" s="2" t="s">
        <v>34</v>
      </c>
      <c r="F3" s="2" t="s">
        <v>44</v>
      </c>
      <c r="G3" s="2" t="s">
        <v>45</v>
      </c>
      <c r="H3" s="2" t="s">
        <v>46</v>
      </c>
      <c r="I3" s="2">
        <v>46252</v>
      </c>
      <c r="J3" s="2">
        <v>46252.870109016207</v>
      </c>
      <c r="K3" s="2">
        <v>5</v>
      </c>
      <c r="L3" s="2">
        <v>5</v>
      </c>
      <c r="M3" s="2">
        <v>5</v>
      </c>
      <c r="N3" s="2">
        <f t="shared" si="0"/>
        <v>25</v>
      </c>
      <c r="O3" s="2" t="s">
        <v>38</v>
      </c>
      <c r="P3" s="2"/>
      <c r="Q3" s="2"/>
      <c r="R3" s="2">
        <v>10.271989525028618</v>
      </c>
      <c r="S3" s="2" t="s">
        <v>47</v>
      </c>
      <c r="T3" s="2" t="s">
        <v>48</v>
      </c>
      <c r="U3" s="2" t="s">
        <v>47</v>
      </c>
      <c r="V3" s="2">
        <v>7.1781625312674679E-2</v>
      </c>
      <c r="W3" s="2">
        <v>0.6988093702565833</v>
      </c>
      <c r="X3" s="2"/>
      <c r="Y3" s="2">
        <v>9.3077885431665734</v>
      </c>
      <c r="Z3" s="2">
        <v>10.549973139757405</v>
      </c>
      <c r="AA3" s="2">
        <v>10.500561843796365</v>
      </c>
      <c r="AB3" s="2">
        <v>10.565777540197661</v>
      </c>
      <c r="AC3" s="2">
        <v>10.556194252088876</v>
      </c>
      <c r="AD3" s="2">
        <v>10.57816581104322</v>
      </c>
      <c r="AE3" s="2" t="s">
        <v>41</v>
      </c>
      <c r="AF3" s="2" t="s">
        <v>49</v>
      </c>
      <c r="AG3" s="2" t="s">
        <v>43</v>
      </c>
    </row>
    <row r="4" spans="1:33">
      <c r="A4" s="2">
        <v>3</v>
      </c>
      <c r="B4" s="2">
        <v>6</v>
      </c>
      <c r="C4" s="2">
        <v>2</v>
      </c>
      <c r="D4" s="2" t="s">
        <v>33</v>
      </c>
      <c r="E4" s="2" t="s">
        <v>34</v>
      </c>
      <c r="F4" s="2" t="s">
        <v>50</v>
      </c>
      <c r="G4" s="2" t="s">
        <v>51</v>
      </c>
      <c r="H4" s="2" t="s">
        <v>52</v>
      </c>
      <c r="I4" s="2">
        <v>46252</v>
      </c>
      <c r="J4" s="2">
        <v>46252.728710150463</v>
      </c>
      <c r="K4" s="2">
        <v>5</v>
      </c>
      <c r="L4" s="2">
        <v>5</v>
      </c>
      <c r="M4" s="2">
        <v>5</v>
      </c>
      <c r="N4" s="2">
        <f t="shared" si="0"/>
        <v>25</v>
      </c>
      <c r="O4" s="2" t="s">
        <v>38</v>
      </c>
      <c r="P4" s="2"/>
      <c r="Q4" s="2"/>
      <c r="R4" s="2">
        <v>10.254573160191869</v>
      </c>
      <c r="S4" s="2" t="s">
        <v>53</v>
      </c>
      <c r="T4" s="2" t="s">
        <v>54</v>
      </c>
      <c r="U4" s="2" t="s">
        <v>53</v>
      </c>
      <c r="V4" s="2">
        <v>8.8645195688049683E-2</v>
      </c>
      <c r="W4" s="2">
        <v>0.86444549473954968</v>
      </c>
      <c r="X4" s="2"/>
      <c r="Y4" s="2">
        <v>9.315503093424061</v>
      </c>
      <c r="Z4" s="2">
        <v>10.524124842897431</v>
      </c>
      <c r="AA4" s="2">
        <v>10.515661332660031</v>
      </c>
      <c r="AB4" s="2">
        <v>10.505443779352262</v>
      </c>
      <c r="AC4" s="2">
        <v>10.541597765211149</v>
      </c>
      <c r="AD4" s="2">
        <v>10.534218658853378</v>
      </c>
      <c r="AE4" s="2" t="s">
        <v>41</v>
      </c>
      <c r="AF4" s="2" t="s">
        <v>55</v>
      </c>
      <c r="AG4" s="2" t="s">
        <v>43</v>
      </c>
    </row>
    <row r="5" spans="1:33">
      <c r="A5" s="2">
        <v>4</v>
      </c>
      <c r="B5" s="2">
        <v>8</v>
      </c>
      <c r="C5" s="2">
        <v>6</v>
      </c>
      <c r="D5" s="2" t="s">
        <v>33</v>
      </c>
      <c r="E5" s="2" t="s">
        <v>34</v>
      </c>
      <c r="F5" s="2" t="s">
        <v>56</v>
      </c>
      <c r="G5" s="2" t="s">
        <v>57</v>
      </c>
      <c r="H5" s="2" t="s">
        <v>58</v>
      </c>
      <c r="I5" s="2">
        <v>46252</v>
      </c>
      <c r="J5" s="2">
        <v>46252.900729062501</v>
      </c>
      <c r="K5" s="2">
        <v>5</v>
      </c>
      <c r="L5" s="2">
        <v>5</v>
      </c>
      <c r="M5" s="2">
        <v>5</v>
      </c>
      <c r="N5" s="2">
        <f t="shared" si="0"/>
        <v>25</v>
      </c>
      <c r="O5" s="2" t="s">
        <v>38</v>
      </c>
      <c r="P5" s="2"/>
      <c r="Q5" s="2"/>
      <c r="R5" s="2">
        <v>10.227789445949357</v>
      </c>
      <c r="S5" s="2" t="s">
        <v>59</v>
      </c>
      <c r="T5" s="2" t="s">
        <v>60</v>
      </c>
      <c r="U5" s="2" t="s">
        <v>61</v>
      </c>
      <c r="V5" s="2">
        <v>0.1222775346760864</v>
      </c>
      <c r="W5" s="2">
        <v>1.1955421581787993</v>
      </c>
      <c r="X5" s="2"/>
      <c r="Y5" s="2">
        <v>9.2933688433616286</v>
      </c>
      <c r="Z5" s="2">
        <v>10.495541524914838</v>
      </c>
      <c r="AA5" s="2">
        <v>10.469081692975633</v>
      </c>
      <c r="AB5" s="2">
        <v>10.501478094429066</v>
      </c>
      <c r="AC5" s="2">
        <v>10.506231750276747</v>
      </c>
      <c r="AD5" s="2">
        <v>10.505936256035929</v>
      </c>
      <c r="AE5" s="2" t="s">
        <v>41</v>
      </c>
      <c r="AF5" s="2" t="s">
        <v>62</v>
      </c>
      <c r="AG5" s="2" t="s">
        <v>43</v>
      </c>
    </row>
    <row r="6" spans="1:33">
      <c r="A6" s="2">
        <v>5</v>
      </c>
      <c r="B6" s="2">
        <v>3</v>
      </c>
      <c r="C6" s="2">
        <v>20</v>
      </c>
      <c r="D6" s="2" t="s">
        <v>33</v>
      </c>
      <c r="E6" s="2" t="s">
        <v>34</v>
      </c>
      <c r="F6" s="2" t="s">
        <v>63</v>
      </c>
      <c r="G6" s="2" t="s">
        <v>64</v>
      </c>
      <c r="H6" s="2" t="s">
        <v>65</v>
      </c>
      <c r="I6" s="2">
        <v>46252</v>
      </c>
      <c r="J6" s="2">
        <v>46252.777894837964</v>
      </c>
      <c r="K6" s="2">
        <v>5</v>
      </c>
      <c r="L6" s="2">
        <v>5</v>
      </c>
      <c r="M6" s="2">
        <v>5</v>
      </c>
      <c r="N6" s="2">
        <f t="shared" si="0"/>
        <v>25</v>
      </c>
      <c r="O6" s="2" t="s">
        <v>38</v>
      </c>
      <c r="P6" s="2"/>
      <c r="Q6" s="2"/>
      <c r="R6" s="2">
        <v>10.221776152652431</v>
      </c>
      <c r="S6" s="2" t="s">
        <v>66</v>
      </c>
      <c r="T6" s="2" t="s">
        <v>67</v>
      </c>
      <c r="U6" s="2" t="s">
        <v>66</v>
      </c>
      <c r="V6" s="2">
        <v>0.19490136528534144</v>
      </c>
      <c r="W6" s="2">
        <v>1.9067269951393604</v>
      </c>
      <c r="X6" s="2"/>
      <c r="Y6" s="2">
        <v>9.4951433892834629</v>
      </c>
      <c r="Z6" s="2">
        <v>10.426338837803003</v>
      </c>
      <c r="AA6" s="2">
        <v>10.464258891452225</v>
      </c>
      <c r="AB6" s="2">
        <v>10.229706227504691</v>
      </c>
      <c r="AC6" s="2">
        <v>10.520971698217206</v>
      </c>
      <c r="AD6" s="2">
        <v>10.516764787037211</v>
      </c>
      <c r="AE6" s="2" t="s">
        <v>41</v>
      </c>
      <c r="AF6" s="2" t="s">
        <v>68</v>
      </c>
      <c r="AG6" s="2" t="s">
        <v>43</v>
      </c>
    </row>
    <row r="7" spans="1:33">
      <c r="A7" s="2">
        <v>6</v>
      </c>
      <c r="B7" s="2">
        <v>10</v>
      </c>
      <c r="C7" s="2">
        <v>10</v>
      </c>
      <c r="D7" s="2" t="s">
        <v>33</v>
      </c>
      <c r="E7" s="2" t="s">
        <v>34</v>
      </c>
      <c r="F7" s="2" t="s">
        <v>69</v>
      </c>
      <c r="G7" s="2" t="s">
        <v>70</v>
      </c>
      <c r="H7" s="2" t="s">
        <v>52</v>
      </c>
      <c r="I7" s="2">
        <v>46252</v>
      </c>
      <c r="J7" s="2">
        <v>46252.724256875001</v>
      </c>
      <c r="K7" s="2">
        <v>5</v>
      </c>
      <c r="L7" s="2">
        <v>5</v>
      </c>
      <c r="M7" s="2">
        <v>5</v>
      </c>
      <c r="N7" s="2">
        <f t="shared" si="0"/>
        <v>25</v>
      </c>
      <c r="O7" s="2" t="s">
        <v>38</v>
      </c>
      <c r="P7" s="2"/>
      <c r="Q7" s="2"/>
      <c r="R7" s="2">
        <v>10.205161533980109</v>
      </c>
      <c r="S7" s="2" t="s">
        <v>71</v>
      </c>
      <c r="T7" s="2" t="s">
        <v>54</v>
      </c>
      <c r="U7" s="2" t="s">
        <v>71</v>
      </c>
      <c r="V7" s="2">
        <v>0.13897199565523424</v>
      </c>
      <c r="W7" s="2">
        <v>1.3617814396420813</v>
      </c>
      <c r="X7" s="2"/>
      <c r="Y7" s="2">
        <v>9.274994677909433</v>
      </c>
      <c r="Z7" s="2">
        <v>10.474620433287118</v>
      </c>
      <c r="AA7" s="2">
        <v>10.42367006471383</v>
      </c>
      <c r="AB7" s="2">
        <v>10.508308773207961</v>
      </c>
      <c r="AC7" s="2">
        <v>10.480910760353634</v>
      </c>
      <c r="AD7" s="2">
        <v>10.48625867270613</v>
      </c>
      <c r="AE7" s="2" t="s">
        <v>41</v>
      </c>
      <c r="AF7" s="2" t="s">
        <v>72</v>
      </c>
      <c r="AG7" s="2" t="s">
        <v>43</v>
      </c>
    </row>
    <row r="8" spans="1:33">
      <c r="A8" s="2">
        <v>7</v>
      </c>
      <c r="B8" s="2">
        <v>20</v>
      </c>
      <c r="C8" s="2">
        <v>5</v>
      </c>
      <c r="D8" s="2" t="s">
        <v>33</v>
      </c>
      <c r="E8" s="2" t="s">
        <v>34</v>
      </c>
      <c r="F8" s="2" t="s">
        <v>73</v>
      </c>
      <c r="G8" s="2" t="s">
        <v>74</v>
      </c>
      <c r="H8" s="2" t="s">
        <v>58</v>
      </c>
      <c r="I8" s="2">
        <v>46252</v>
      </c>
      <c r="J8" s="2">
        <v>46252.896282303242</v>
      </c>
      <c r="K8" s="2">
        <v>5</v>
      </c>
      <c r="L8" s="2">
        <v>5</v>
      </c>
      <c r="M8" s="2">
        <v>5</v>
      </c>
      <c r="N8" s="2">
        <f t="shared" si="0"/>
        <v>25</v>
      </c>
      <c r="O8" s="2" t="s">
        <v>38</v>
      </c>
      <c r="P8" s="2"/>
      <c r="Q8" s="2"/>
      <c r="R8" s="2">
        <v>10.203500746964101</v>
      </c>
      <c r="S8" s="2" t="s">
        <v>75</v>
      </c>
      <c r="T8" s="2" t="s">
        <v>60</v>
      </c>
      <c r="U8" s="2" t="s">
        <v>76</v>
      </c>
      <c r="V8" s="2">
        <v>8.0005270332885681E-2</v>
      </c>
      <c r="W8" s="2">
        <v>0.78409628535275055</v>
      </c>
      <c r="X8" s="2"/>
      <c r="Y8" s="2">
        <v>9.1307036244041271</v>
      </c>
      <c r="Z8" s="2">
        <v>10.514851757070105</v>
      </c>
      <c r="AA8" s="2">
        <v>10.514196743114784</v>
      </c>
      <c r="AB8" s="2">
        <v>10.520836374680512</v>
      </c>
      <c r="AC8" s="2">
        <v>10.507105433669793</v>
      </c>
      <c r="AD8" s="2">
        <v>10.517569175208777</v>
      </c>
      <c r="AE8" s="2" t="s">
        <v>41</v>
      </c>
      <c r="AF8" s="2" t="s">
        <v>77</v>
      </c>
      <c r="AG8" s="2" t="s">
        <v>43</v>
      </c>
    </row>
    <row r="9" spans="1:33">
      <c r="A9" s="2">
        <v>8</v>
      </c>
      <c r="B9" s="2">
        <v>2</v>
      </c>
      <c r="C9" s="2">
        <v>25</v>
      </c>
      <c r="D9" s="2" t="s">
        <v>33</v>
      </c>
      <c r="E9" s="2" t="s">
        <v>34</v>
      </c>
      <c r="F9" s="2" t="s">
        <v>78</v>
      </c>
      <c r="G9" s="2" t="s">
        <v>79</v>
      </c>
      <c r="H9" s="2" t="s">
        <v>37</v>
      </c>
      <c r="I9" s="2">
        <v>46252</v>
      </c>
      <c r="J9" s="2">
        <v>46252.827112500003</v>
      </c>
      <c r="K9" s="2">
        <v>5</v>
      </c>
      <c r="L9" s="2">
        <v>5</v>
      </c>
      <c r="M9" s="2">
        <v>5</v>
      </c>
      <c r="N9" s="2">
        <f t="shared" si="0"/>
        <v>25</v>
      </c>
      <c r="O9" s="2" t="s">
        <v>38</v>
      </c>
      <c r="P9" s="2"/>
      <c r="Q9" s="2"/>
      <c r="R9" s="2">
        <v>10.202371112506631</v>
      </c>
      <c r="S9" s="2" t="s">
        <v>80</v>
      </c>
      <c r="T9" s="2" t="s">
        <v>40</v>
      </c>
      <c r="U9" s="2" t="s">
        <v>80</v>
      </c>
      <c r="V9" s="2">
        <v>0.21607906919547909</v>
      </c>
      <c r="W9" s="2">
        <v>2.1179299087699075</v>
      </c>
      <c r="X9" s="2"/>
      <c r="Y9" s="2">
        <v>9.4955737577951229</v>
      </c>
      <c r="Z9" s="2">
        <v>10.403518925037822</v>
      </c>
      <c r="AA9" s="2">
        <v>10.460770373718844</v>
      </c>
      <c r="AB9" s="2">
        <v>10.464197765321268</v>
      </c>
      <c r="AC9" s="2">
        <v>10.230406443863131</v>
      </c>
      <c r="AD9" s="2">
        <v>10.48285014191214</v>
      </c>
      <c r="AE9" s="2" t="s">
        <v>41</v>
      </c>
      <c r="AF9" s="2" t="s">
        <v>81</v>
      </c>
      <c r="AG9" s="2" t="s">
        <v>43</v>
      </c>
    </row>
    <row r="10" spans="1:33">
      <c r="A10" s="2">
        <v>9</v>
      </c>
      <c r="B10" s="2">
        <v>5</v>
      </c>
      <c r="C10" s="2">
        <v>14</v>
      </c>
      <c r="D10" s="2" t="s">
        <v>33</v>
      </c>
      <c r="E10" s="2" t="s">
        <v>34</v>
      </c>
      <c r="F10" s="2" t="s">
        <v>82</v>
      </c>
      <c r="G10" s="2" t="s">
        <v>83</v>
      </c>
      <c r="H10" s="2" t="s">
        <v>65</v>
      </c>
      <c r="I10" s="2">
        <v>46252</v>
      </c>
      <c r="J10" s="2">
        <v>46252.782333055555</v>
      </c>
      <c r="K10" s="2">
        <v>5</v>
      </c>
      <c r="L10" s="2">
        <v>5</v>
      </c>
      <c r="M10" s="2">
        <v>5</v>
      </c>
      <c r="N10" s="2">
        <f t="shared" si="0"/>
        <v>25</v>
      </c>
      <c r="O10" s="2" t="s">
        <v>38</v>
      </c>
      <c r="P10" s="2"/>
      <c r="Q10" s="2"/>
      <c r="R10" s="2">
        <v>10.200855151011647</v>
      </c>
      <c r="S10" s="2" t="s">
        <v>84</v>
      </c>
      <c r="T10" s="2" t="s">
        <v>85</v>
      </c>
      <c r="U10" s="2" t="s">
        <v>84</v>
      </c>
      <c r="V10" s="2">
        <v>0.15518536177380959</v>
      </c>
      <c r="W10" s="2">
        <v>1.5212975723747968</v>
      </c>
      <c r="X10" s="2"/>
      <c r="Y10" s="2">
        <v>9.3762905275078126</v>
      </c>
      <c r="Z10" s="2">
        <v>10.437156115137615</v>
      </c>
      <c r="AA10" s="2">
        <v>10.456478130563147</v>
      </c>
      <c r="AB10" s="2">
        <v>10.446709040626905</v>
      </c>
      <c r="AC10" s="2">
        <v>10.409238146835456</v>
      </c>
      <c r="AD10" s="2">
        <v>10.437042466500467</v>
      </c>
      <c r="AE10" s="2" t="s">
        <v>41</v>
      </c>
      <c r="AF10" s="2" t="s">
        <v>86</v>
      </c>
      <c r="AG10" s="2" t="s">
        <v>43</v>
      </c>
    </row>
    <row r="11" spans="1:33">
      <c r="A11" s="2">
        <v>10</v>
      </c>
      <c r="B11" s="2">
        <v>11</v>
      </c>
      <c r="C11" s="2">
        <v>9</v>
      </c>
      <c r="D11" s="2" t="s">
        <v>33</v>
      </c>
      <c r="E11" s="2" t="s">
        <v>34</v>
      </c>
      <c r="F11" s="2" t="s">
        <v>87</v>
      </c>
      <c r="G11" s="2" t="s">
        <v>88</v>
      </c>
      <c r="H11" s="2" t="s">
        <v>37</v>
      </c>
      <c r="I11" s="2">
        <v>46252</v>
      </c>
      <c r="J11" s="2">
        <v>46252.851231261571</v>
      </c>
      <c r="K11" s="2">
        <v>5</v>
      </c>
      <c r="L11" s="2">
        <v>5</v>
      </c>
      <c r="M11" s="2">
        <v>5</v>
      </c>
      <c r="N11" s="2">
        <f t="shared" si="0"/>
        <v>25</v>
      </c>
      <c r="O11" s="2" t="s">
        <v>38</v>
      </c>
      <c r="P11" s="2"/>
      <c r="Q11" s="2"/>
      <c r="R11" s="2">
        <v>10.200583218491948</v>
      </c>
      <c r="S11" s="2" t="s">
        <v>89</v>
      </c>
      <c r="T11" s="2" t="s">
        <v>90</v>
      </c>
      <c r="U11" s="2" t="s">
        <v>89</v>
      </c>
      <c r="V11" s="2">
        <v>0.19551742874259109</v>
      </c>
      <c r="W11" s="2">
        <v>1.9167279414783929</v>
      </c>
      <c r="X11" s="2"/>
      <c r="Y11" s="2">
        <v>9.2403838345456304</v>
      </c>
      <c r="Z11" s="2">
        <v>10.478416903462351</v>
      </c>
      <c r="AA11" s="2">
        <v>10.452227621895513</v>
      </c>
      <c r="AB11" s="2">
        <v>10.507477032074112</v>
      </c>
      <c r="AC11" s="2">
        <v>10.464238869587572</v>
      </c>
      <c r="AD11" s="2">
        <v>10.490290565006163</v>
      </c>
      <c r="AE11" s="2" t="s">
        <v>41</v>
      </c>
      <c r="AF11" s="2" t="s">
        <v>91</v>
      </c>
      <c r="AG11" s="2" t="s">
        <v>43</v>
      </c>
    </row>
    <row r="12" spans="1:33">
      <c r="A12" s="2">
        <v>11</v>
      </c>
      <c r="B12" s="2">
        <v>15</v>
      </c>
      <c r="C12" s="2">
        <v>12</v>
      </c>
      <c r="D12" s="2" t="s">
        <v>33</v>
      </c>
      <c r="E12" s="2" t="s">
        <v>34</v>
      </c>
      <c r="F12" s="2" t="s">
        <v>92</v>
      </c>
      <c r="G12" s="2" t="s">
        <v>93</v>
      </c>
      <c r="H12" s="2" t="s">
        <v>94</v>
      </c>
      <c r="I12" s="2">
        <v>46252</v>
      </c>
      <c r="J12" s="2">
        <v>46252.818176203706</v>
      </c>
      <c r="K12" s="2">
        <v>5</v>
      </c>
      <c r="L12" s="2">
        <v>5</v>
      </c>
      <c r="M12" s="2">
        <v>5</v>
      </c>
      <c r="N12" s="2">
        <f t="shared" si="0"/>
        <v>25</v>
      </c>
      <c r="O12" s="2" t="s">
        <v>38</v>
      </c>
      <c r="P12" s="2"/>
      <c r="Q12" s="2"/>
      <c r="R12" s="2">
        <v>10.180383154913068</v>
      </c>
      <c r="S12" s="2" t="s">
        <v>95</v>
      </c>
      <c r="T12" s="2" t="s">
        <v>96</v>
      </c>
      <c r="U12" s="2" t="s">
        <v>95</v>
      </c>
      <c r="V12" s="2">
        <v>0.22884767261556993</v>
      </c>
      <c r="W12" s="2">
        <v>2.2479278936090701</v>
      </c>
      <c r="X12" s="2"/>
      <c r="Y12" s="2">
        <v>9.2146052738647732</v>
      </c>
      <c r="Z12" s="2">
        <v>10.459521014468264</v>
      </c>
      <c r="AA12" s="2">
        <v>10.54671650241829</v>
      </c>
      <c r="AB12" s="2">
        <v>10.265802820188723</v>
      </c>
      <c r="AC12" s="2">
        <v>10.538417812489248</v>
      </c>
      <c r="AD12" s="2">
        <v>10.521541046744657</v>
      </c>
      <c r="AE12" s="2" t="s">
        <v>41</v>
      </c>
      <c r="AF12" s="2" t="s">
        <v>97</v>
      </c>
      <c r="AG12" s="2" t="s">
        <v>43</v>
      </c>
    </row>
    <row r="13" spans="1:33">
      <c r="A13" s="2">
        <v>12</v>
      </c>
      <c r="B13" s="2">
        <v>32</v>
      </c>
      <c r="C13" s="2">
        <v>3</v>
      </c>
      <c r="D13" s="2" t="s">
        <v>33</v>
      </c>
      <c r="E13" s="2" t="s">
        <v>34</v>
      </c>
      <c r="F13" s="2" t="s">
        <v>98</v>
      </c>
      <c r="G13" s="2" t="s">
        <v>99</v>
      </c>
      <c r="H13" s="2" t="s">
        <v>37</v>
      </c>
      <c r="I13" s="2">
        <v>46252</v>
      </c>
      <c r="J13" s="2">
        <v>46252.846784710651</v>
      </c>
      <c r="K13" s="2">
        <v>5</v>
      </c>
      <c r="L13" s="2">
        <v>5</v>
      </c>
      <c r="M13" s="2">
        <v>5</v>
      </c>
      <c r="N13" s="2">
        <f t="shared" si="0"/>
        <v>25</v>
      </c>
      <c r="O13" s="2" t="s">
        <v>38</v>
      </c>
      <c r="P13" s="2"/>
      <c r="Q13" s="2"/>
      <c r="R13" s="2">
        <v>10.167138303899854</v>
      </c>
      <c r="S13" s="2" t="s">
        <v>100</v>
      </c>
      <c r="T13" s="2" t="s">
        <v>90</v>
      </c>
      <c r="U13" s="2" t="s">
        <v>100</v>
      </c>
      <c r="V13" s="2">
        <v>6.4559856058833895E-2</v>
      </c>
      <c r="W13" s="2">
        <v>0.63498552030191613</v>
      </c>
      <c r="X13" s="2"/>
      <c r="Y13" s="2">
        <v>8.9626728842287289</v>
      </c>
      <c r="Z13" s="2">
        <v>10.5226839336772</v>
      </c>
      <c r="AA13" s="2">
        <v>10.518821814413544</v>
      </c>
      <c r="AB13" s="2">
        <v>10.54393289632675</v>
      </c>
      <c r="AC13" s="2">
        <v>10.522987952638344</v>
      </c>
      <c r="AD13" s="2">
        <v>10.505389301653931</v>
      </c>
      <c r="AE13" s="2" t="s">
        <v>41</v>
      </c>
      <c r="AF13" s="2" t="s">
        <v>101</v>
      </c>
      <c r="AG13" s="2" t="s">
        <v>43</v>
      </c>
    </row>
    <row r="14" spans="1:33">
      <c r="A14" s="2">
        <v>13</v>
      </c>
      <c r="B14" s="2">
        <v>19</v>
      </c>
      <c r="C14" s="2">
        <v>11</v>
      </c>
      <c r="D14" s="2" t="s">
        <v>33</v>
      </c>
      <c r="E14" s="2" t="s">
        <v>102</v>
      </c>
      <c r="F14" s="2" t="s">
        <v>35</v>
      </c>
      <c r="G14" s="2" t="s">
        <v>36</v>
      </c>
      <c r="H14" s="2" t="s">
        <v>103</v>
      </c>
      <c r="I14" s="2">
        <v>46253</v>
      </c>
      <c r="J14" s="2">
        <v>46253.202523148146</v>
      </c>
      <c r="K14" s="2">
        <v>6</v>
      </c>
      <c r="L14" s="2">
        <v>6</v>
      </c>
      <c r="M14" s="2">
        <v>5</v>
      </c>
      <c r="N14" s="2">
        <f t="shared" si="0"/>
        <v>30</v>
      </c>
      <c r="O14" s="2" t="s">
        <v>104</v>
      </c>
      <c r="P14" s="2">
        <v>9.2078934190683324</v>
      </c>
      <c r="Q14" s="2">
        <v>8.7876109314279915</v>
      </c>
      <c r="R14" s="2">
        <v>10.163606524117313</v>
      </c>
      <c r="S14" s="2" t="s">
        <v>39</v>
      </c>
      <c r="T14" s="2" t="s">
        <v>40</v>
      </c>
      <c r="U14" s="2" t="s">
        <v>39</v>
      </c>
      <c r="V14" s="2">
        <v>0.14684463381937682</v>
      </c>
      <c r="W14" s="2">
        <v>1.4448083312840563</v>
      </c>
      <c r="X14" s="2">
        <v>10.379280705723893</v>
      </c>
      <c r="Y14" s="2">
        <v>9.1459403849017242</v>
      </c>
      <c r="Z14" s="2">
        <v>10.460458328710876</v>
      </c>
      <c r="AA14" s="2">
        <v>10.42944625843143</v>
      </c>
      <c r="AB14" s="2">
        <v>10.446436249028507</v>
      </c>
      <c r="AC14" s="2">
        <v>10.479399539327581</v>
      </c>
      <c r="AD14" s="2">
        <v>10.488902097611955</v>
      </c>
      <c r="AE14" s="2" t="s">
        <v>105</v>
      </c>
      <c r="AF14" s="2" t="s">
        <v>106</v>
      </c>
      <c r="AG14" s="2" t="s">
        <v>107</v>
      </c>
    </row>
    <row r="15" spans="1:33">
      <c r="A15" s="2">
        <v>14</v>
      </c>
      <c r="B15" s="2">
        <v>27</v>
      </c>
      <c r="C15" s="2">
        <v>7</v>
      </c>
      <c r="D15" s="2" t="s">
        <v>33</v>
      </c>
      <c r="E15" s="2" t="s">
        <v>34</v>
      </c>
      <c r="F15" s="2" t="s">
        <v>108</v>
      </c>
      <c r="G15" s="2" t="s">
        <v>109</v>
      </c>
      <c r="H15" s="2" t="s">
        <v>94</v>
      </c>
      <c r="I15" s="2">
        <v>46252</v>
      </c>
      <c r="J15" s="2">
        <v>46252.80465204861</v>
      </c>
      <c r="K15" s="2">
        <v>5</v>
      </c>
      <c r="L15" s="2">
        <v>5</v>
      </c>
      <c r="M15" s="2">
        <v>5</v>
      </c>
      <c r="N15" s="2">
        <f t="shared" si="0"/>
        <v>25</v>
      </c>
      <c r="O15" s="2" t="s">
        <v>38</v>
      </c>
      <c r="P15" s="2"/>
      <c r="Q15" s="2"/>
      <c r="R15" s="2">
        <v>10.162838509574069</v>
      </c>
      <c r="S15" s="2" t="s">
        <v>110</v>
      </c>
      <c r="T15" s="2" t="s">
        <v>111</v>
      </c>
      <c r="U15" s="2" t="s">
        <v>112</v>
      </c>
      <c r="V15" s="2">
        <v>0.1749451760747591</v>
      </c>
      <c r="W15" s="2">
        <v>1.7214204073984756</v>
      </c>
      <c r="X15" s="2"/>
      <c r="Y15" s="2">
        <v>9.043082399881639</v>
      </c>
      <c r="Z15" s="2">
        <v>10.493286313647047</v>
      </c>
      <c r="AA15" s="2">
        <v>10.511739248527229</v>
      </c>
      <c r="AB15" s="2">
        <v>10.5338590257518</v>
      </c>
      <c r="AC15" s="2">
        <v>10.473679606535953</v>
      </c>
      <c r="AD15" s="2">
        <v>10.455190308062464</v>
      </c>
      <c r="AE15" s="2" t="s">
        <v>41</v>
      </c>
      <c r="AF15" s="2" t="s">
        <v>113</v>
      </c>
      <c r="AG15" s="2" t="s">
        <v>43</v>
      </c>
    </row>
    <row r="16" spans="1:33">
      <c r="A16" s="2">
        <v>15</v>
      </c>
      <c r="B16" s="2">
        <v>29</v>
      </c>
      <c r="C16" s="2">
        <v>8</v>
      </c>
      <c r="D16" s="2" t="s">
        <v>33</v>
      </c>
      <c r="E16" s="2" t="s">
        <v>34</v>
      </c>
      <c r="F16" s="2" t="s">
        <v>114</v>
      </c>
      <c r="G16" s="2" t="s">
        <v>115</v>
      </c>
      <c r="H16" s="2" t="s">
        <v>52</v>
      </c>
      <c r="I16" s="2">
        <v>46252</v>
      </c>
      <c r="J16" s="2">
        <v>46252.751090972219</v>
      </c>
      <c r="K16" s="2">
        <v>5</v>
      </c>
      <c r="L16" s="2">
        <v>5</v>
      </c>
      <c r="M16" s="2">
        <v>5</v>
      </c>
      <c r="N16" s="2">
        <f t="shared" si="0"/>
        <v>25</v>
      </c>
      <c r="O16" s="2" t="s">
        <v>38</v>
      </c>
      <c r="P16" s="2"/>
      <c r="Q16" s="2"/>
      <c r="R16" s="2">
        <v>10.159468009329419</v>
      </c>
      <c r="S16" s="2" t="s">
        <v>116</v>
      </c>
      <c r="T16" s="2" t="s">
        <v>117</v>
      </c>
      <c r="U16" s="2" t="s">
        <v>116</v>
      </c>
      <c r="V16" s="2">
        <v>6.8725601573332573E-2</v>
      </c>
      <c r="W16" s="2">
        <v>0.67646850711299045</v>
      </c>
      <c r="X16" s="2"/>
      <c r="Y16" s="2">
        <v>9.0316905569008288</v>
      </c>
      <c r="Z16" s="2">
        <v>10.488402850805937</v>
      </c>
      <c r="AA16" s="2">
        <v>10.482900916763844</v>
      </c>
      <c r="AB16" s="2">
        <v>10.514335456410191</v>
      </c>
      <c r="AC16" s="2">
        <v>10.457062639096444</v>
      </c>
      <c r="AD16" s="2">
        <v>10.500391595492848</v>
      </c>
      <c r="AE16" s="2" t="s">
        <v>41</v>
      </c>
      <c r="AF16" s="2" t="s">
        <v>118</v>
      </c>
      <c r="AG16" s="2" t="s">
        <v>43</v>
      </c>
    </row>
    <row r="17" spans="1:33">
      <c r="A17" s="2">
        <v>16</v>
      </c>
      <c r="B17" s="2">
        <v>13</v>
      </c>
      <c r="C17" s="2">
        <v>16</v>
      </c>
      <c r="D17" s="2" t="s">
        <v>33</v>
      </c>
      <c r="E17" s="2" t="s">
        <v>34</v>
      </c>
      <c r="F17" s="2" t="s">
        <v>119</v>
      </c>
      <c r="G17" s="2" t="s">
        <v>120</v>
      </c>
      <c r="H17" s="2" t="s">
        <v>46</v>
      </c>
      <c r="I17" s="2">
        <v>46252</v>
      </c>
      <c r="J17" s="2">
        <v>46252.855671886573</v>
      </c>
      <c r="K17" s="2">
        <v>5</v>
      </c>
      <c r="L17" s="2">
        <v>5</v>
      </c>
      <c r="M17" s="2">
        <v>5</v>
      </c>
      <c r="N17" s="2">
        <f t="shared" si="0"/>
        <v>25</v>
      </c>
      <c r="O17" s="2" t="s">
        <v>38</v>
      </c>
      <c r="P17" s="2"/>
      <c r="Q17" s="2"/>
      <c r="R17" s="2">
        <v>10.157786830524744</v>
      </c>
      <c r="S17" s="2" t="s">
        <v>121</v>
      </c>
      <c r="T17" s="2" t="s">
        <v>122</v>
      </c>
      <c r="U17" s="2" t="s">
        <v>121</v>
      </c>
      <c r="V17" s="2">
        <v>7.2416415140724735E-2</v>
      </c>
      <c r="W17" s="2">
        <v>0.71291528704962748</v>
      </c>
      <c r="X17" s="2"/>
      <c r="Y17" s="2">
        <v>9.2153870454485354</v>
      </c>
      <c r="Z17" s="2">
        <v>10.432725553757013</v>
      </c>
      <c r="AA17" s="2">
        <v>10.510796042174098</v>
      </c>
      <c r="AB17" s="2">
        <v>10.549779706883035</v>
      </c>
      <c r="AC17" s="2">
        <v>10.558904224296612</v>
      </c>
      <c r="AD17" s="2">
        <v>10.144311356360596</v>
      </c>
      <c r="AE17" s="2" t="s">
        <v>41</v>
      </c>
      <c r="AF17" s="2" t="s">
        <v>123</v>
      </c>
      <c r="AG17" s="2" t="s">
        <v>43</v>
      </c>
    </row>
    <row r="18" spans="1:33">
      <c r="A18" s="2">
        <v>17</v>
      </c>
      <c r="B18" s="2">
        <v>21</v>
      </c>
      <c r="C18" s="2">
        <v>13</v>
      </c>
      <c r="D18" s="2" t="s">
        <v>33</v>
      </c>
      <c r="E18" s="2" t="s">
        <v>34</v>
      </c>
      <c r="F18" s="2" t="s">
        <v>124</v>
      </c>
      <c r="G18" s="2" t="s">
        <v>125</v>
      </c>
      <c r="H18" s="2" t="s">
        <v>58</v>
      </c>
      <c r="I18" s="2">
        <v>46252</v>
      </c>
      <c r="J18" s="2">
        <v>46252.891824409722</v>
      </c>
      <c r="K18" s="2">
        <v>5</v>
      </c>
      <c r="L18" s="2">
        <v>5</v>
      </c>
      <c r="M18" s="2">
        <v>5</v>
      </c>
      <c r="N18" s="2">
        <f t="shared" si="0"/>
        <v>25</v>
      </c>
      <c r="O18" s="2" t="s">
        <v>38</v>
      </c>
      <c r="P18" s="2"/>
      <c r="Q18" s="2"/>
      <c r="R18" s="2">
        <v>10.145753782892227</v>
      </c>
      <c r="S18" s="2" t="s">
        <v>75</v>
      </c>
      <c r="T18" s="2" t="s">
        <v>60</v>
      </c>
      <c r="U18" s="2" t="s">
        <v>76</v>
      </c>
      <c r="V18" s="2">
        <v>0.18727854898152202</v>
      </c>
      <c r="W18" s="2">
        <v>1.8458810748720431</v>
      </c>
      <c r="X18" s="2"/>
      <c r="Y18" s="2">
        <v>9.1183477070159356</v>
      </c>
      <c r="Z18" s="2">
        <v>10.445142469103248</v>
      </c>
      <c r="AA18" s="2">
        <v>10.464328855092875</v>
      </c>
      <c r="AB18" s="2">
        <v>10.547180130413704</v>
      </c>
      <c r="AC18" s="2">
        <v>10.269175635361034</v>
      </c>
      <c r="AD18" s="2">
        <v>10.528969237824143</v>
      </c>
      <c r="AE18" s="2" t="s">
        <v>41</v>
      </c>
      <c r="AF18" s="2" t="s">
        <v>126</v>
      </c>
      <c r="AG18" s="2" t="s">
        <v>43</v>
      </c>
    </row>
    <row r="19" spans="1:33">
      <c r="A19" s="2">
        <v>18</v>
      </c>
      <c r="B19" s="2">
        <v>22</v>
      </c>
      <c r="C19" s="2">
        <v>21</v>
      </c>
      <c r="D19" s="2" t="s">
        <v>33</v>
      </c>
      <c r="E19" s="2" t="s">
        <v>34</v>
      </c>
      <c r="F19" s="2" t="s">
        <v>127</v>
      </c>
      <c r="G19" s="2" t="s">
        <v>128</v>
      </c>
      <c r="H19" s="2" t="s">
        <v>65</v>
      </c>
      <c r="I19" s="2">
        <v>46252</v>
      </c>
      <c r="J19" s="2">
        <v>46252.760034641207</v>
      </c>
      <c r="K19" s="2">
        <v>5</v>
      </c>
      <c r="L19" s="2">
        <v>5</v>
      </c>
      <c r="M19" s="2">
        <v>5</v>
      </c>
      <c r="N19" s="2">
        <f t="shared" si="0"/>
        <v>25</v>
      </c>
      <c r="O19" s="2" t="s">
        <v>38</v>
      </c>
      <c r="P19" s="2"/>
      <c r="Q19" s="2"/>
      <c r="R19" s="2">
        <v>10.129981496206701</v>
      </c>
      <c r="S19" s="2" t="s">
        <v>129</v>
      </c>
      <c r="T19" s="2" t="s">
        <v>130</v>
      </c>
      <c r="U19" s="2" t="s">
        <v>129</v>
      </c>
      <c r="V19" s="2">
        <v>0.24124832957883732</v>
      </c>
      <c r="W19" s="2">
        <v>2.3815278405905853</v>
      </c>
      <c r="X19" s="2"/>
      <c r="Y19" s="2">
        <v>9.1051851079554673</v>
      </c>
      <c r="Z19" s="2">
        <v>10.425871289852891</v>
      </c>
      <c r="AA19" s="2">
        <v>10.226259983220837</v>
      </c>
      <c r="AB19" s="2">
        <v>10.532728389770725</v>
      </c>
      <c r="AC19" s="2">
        <v>10.510494231145085</v>
      </c>
      <c r="AD19" s="2">
        <v>10.467178118635799</v>
      </c>
      <c r="AE19" s="2" t="s">
        <v>41</v>
      </c>
      <c r="AF19" s="2" t="s">
        <v>131</v>
      </c>
      <c r="AG19" s="2" t="s">
        <v>43</v>
      </c>
    </row>
    <row r="20" spans="1:33">
      <c r="A20" s="2">
        <v>19</v>
      </c>
      <c r="B20" s="2">
        <v>23</v>
      </c>
      <c r="C20" s="2">
        <v>18</v>
      </c>
      <c r="D20" s="2" t="s">
        <v>33</v>
      </c>
      <c r="E20" s="2" t="s">
        <v>34</v>
      </c>
      <c r="F20" s="2" t="s">
        <v>132</v>
      </c>
      <c r="G20" s="2" t="s">
        <v>133</v>
      </c>
      <c r="H20" s="2" t="s">
        <v>134</v>
      </c>
      <c r="I20" s="2">
        <v>46252</v>
      </c>
      <c r="J20" s="2">
        <v>46252.88549346065</v>
      </c>
      <c r="K20" s="2">
        <v>5</v>
      </c>
      <c r="L20" s="2">
        <v>5</v>
      </c>
      <c r="M20" s="2">
        <v>5</v>
      </c>
      <c r="N20" s="2">
        <f t="shared" si="0"/>
        <v>25</v>
      </c>
      <c r="O20" s="2" t="s">
        <v>38</v>
      </c>
      <c r="P20" s="2"/>
      <c r="Q20" s="2"/>
      <c r="R20" s="2">
        <v>10.127133137742854</v>
      </c>
      <c r="S20" s="2" t="s">
        <v>135</v>
      </c>
      <c r="T20" s="2" t="s">
        <v>136</v>
      </c>
      <c r="U20" s="2" t="s">
        <v>135</v>
      </c>
      <c r="V20" s="2">
        <v>0.25660351589665958</v>
      </c>
      <c r="W20" s="2">
        <v>2.5338218862781892</v>
      </c>
      <c r="X20" s="2"/>
      <c r="Y20" s="2">
        <v>9.0937392551138512</v>
      </c>
      <c r="Z20" s="2">
        <v>10.427832254601903</v>
      </c>
      <c r="AA20" s="2">
        <v>10.271610837610284</v>
      </c>
      <c r="AB20" s="2">
        <v>10.311216170371132</v>
      </c>
      <c r="AC20" s="2">
        <v>10.601208013468364</v>
      </c>
      <c r="AD20" s="2">
        <v>10.59510081681365</v>
      </c>
      <c r="AE20" s="2" t="s">
        <v>41</v>
      </c>
      <c r="AF20" s="2" t="s">
        <v>137</v>
      </c>
      <c r="AG20" s="2" t="s">
        <v>43</v>
      </c>
    </row>
    <row r="21" spans="1:33">
      <c r="A21" s="2">
        <v>20</v>
      </c>
      <c r="B21" s="2">
        <v>12</v>
      </c>
      <c r="C21" s="2">
        <v>29</v>
      </c>
      <c r="D21" s="2" t="s">
        <v>33</v>
      </c>
      <c r="E21" s="2" t="s">
        <v>34</v>
      </c>
      <c r="F21" s="2" t="s">
        <v>138</v>
      </c>
      <c r="G21" s="2" t="s">
        <v>139</v>
      </c>
      <c r="H21" s="2" t="s">
        <v>52</v>
      </c>
      <c r="I21" s="2">
        <v>46252</v>
      </c>
      <c r="J21" s="2">
        <v>46252.710880960651</v>
      </c>
      <c r="K21" s="2">
        <v>5</v>
      </c>
      <c r="L21" s="2">
        <v>5</v>
      </c>
      <c r="M21" s="2">
        <v>5</v>
      </c>
      <c r="N21" s="2">
        <f t="shared" si="0"/>
        <v>25</v>
      </c>
      <c r="O21" s="2" t="s">
        <v>38</v>
      </c>
      <c r="P21" s="2"/>
      <c r="Q21" s="2"/>
      <c r="R21" s="2">
        <v>10.125113312847583</v>
      </c>
      <c r="S21" s="2" t="s">
        <v>140</v>
      </c>
      <c r="T21" s="2" t="s">
        <v>141</v>
      </c>
      <c r="U21" s="2" t="s">
        <v>140</v>
      </c>
      <c r="V21" s="2">
        <v>0.19118902236859481</v>
      </c>
      <c r="W21" s="2">
        <v>1.8882655083573074</v>
      </c>
      <c r="X21" s="2"/>
      <c r="Y21" s="2">
        <v>9.2161801867232533</v>
      </c>
      <c r="Z21" s="2">
        <v>10.388119648027926</v>
      </c>
      <c r="AA21" s="2">
        <v>10.453483502881257</v>
      </c>
      <c r="AB21" s="2">
        <v>10.199248457896847</v>
      </c>
      <c r="AC21" s="2">
        <v>10.468095693988076</v>
      </c>
      <c r="AD21" s="2">
        <v>10.460975417283047</v>
      </c>
      <c r="AE21" s="2" t="s">
        <v>41</v>
      </c>
      <c r="AF21" s="2" t="s">
        <v>142</v>
      </c>
      <c r="AG21" s="2" t="s">
        <v>43</v>
      </c>
    </row>
    <row r="22" spans="1:33">
      <c r="A22" s="2">
        <v>21</v>
      </c>
      <c r="B22" s="2">
        <v>24</v>
      </c>
      <c r="C22" s="2">
        <v>19</v>
      </c>
      <c r="D22" s="2" t="s">
        <v>33</v>
      </c>
      <c r="E22" s="2" t="s">
        <v>34</v>
      </c>
      <c r="F22" s="2" t="s">
        <v>143</v>
      </c>
      <c r="G22" s="2" t="s">
        <v>144</v>
      </c>
      <c r="H22" s="2" t="s">
        <v>37</v>
      </c>
      <c r="I22" s="2">
        <v>46252</v>
      </c>
      <c r="J22" s="2">
        <v>46252.837866701389</v>
      </c>
      <c r="K22" s="2">
        <v>5</v>
      </c>
      <c r="L22" s="2">
        <v>5</v>
      </c>
      <c r="M22" s="2">
        <v>5</v>
      </c>
      <c r="N22" s="2">
        <f t="shared" si="0"/>
        <v>25</v>
      </c>
      <c r="O22" s="2" t="s">
        <v>38</v>
      </c>
      <c r="P22" s="2"/>
      <c r="Q22" s="2"/>
      <c r="R22" s="2">
        <v>10.118467424052708</v>
      </c>
      <c r="S22" s="2" t="s">
        <v>145</v>
      </c>
      <c r="T22" s="2" t="s">
        <v>146</v>
      </c>
      <c r="U22" s="2" t="s">
        <v>145</v>
      </c>
      <c r="V22" s="2">
        <v>0.16008698783568803</v>
      </c>
      <c r="W22" s="2">
        <v>1.5821268293570199</v>
      </c>
      <c r="X22" s="2"/>
      <c r="Y22" s="2">
        <v>9.0585860163971876</v>
      </c>
      <c r="Z22" s="2">
        <v>10.427530266221098</v>
      </c>
      <c r="AA22" s="2">
        <v>10.419697146003863</v>
      </c>
      <c r="AB22" s="2">
        <v>10.460412788926513</v>
      </c>
      <c r="AC22" s="2">
        <v>10.410041393283054</v>
      </c>
      <c r="AD22" s="2">
        <v>10.420379616486626</v>
      </c>
      <c r="AE22" s="2" t="s">
        <v>41</v>
      </c>
      <c r="AF22" s="2" t="s">
        <v>147</v>
      </c>
      <c r="AG22" s="2" t="s">
        <v>43</v>
      </c>
    </row>
    <row r="23" spans="1:33">
      <c r="A23" s="2">
        <v>22</v>
      </c>
      <c r="B23" s="2">
        <v>1</v>
      </c>
      <c r="C23" s="2">
        <v>44</v>
      </c>
      <c r="D23" s="2" t="s">
        <v>33</v>
      </c>
      <c r="E23" s="2" t="s">
        <v>34</v>
      </c>
      <c r="F23" s="2" t="s">
        <v>148</v>
      </c>
      <c r="G23" s="2" t="s">
        <v>149</v>
      </c>
      <c r="H23" s="2" t="s">
        <v>37</v>
      </c>
      <c r="I23" s="2">
        <v>46252</v>
      </c>
      <c r="J23" s="2">
        <v>46252.833412314816</v>
      </c>
      <c r="K23" s="2">
        <v>5</v>
      </c>
      <c r="L23" s="2">
        <v>5</v>
      </c>
      <c r="M23" s="2">
        <v>5</v>
      </c>
      <c r="N23" s="2">
        <f t="shared" si="0"/>
        <v>25</v>
      </c>
      <c r="O23" s="2" t="s">
        <v>38</v>
      </c>
      <c r="P23" s="2"/>
      <c r="Q23" s="2"/>
      <c r="R23" s="2">
        <v>10.117849978252481</v>
      </c>
      <c r="S23" s="2" t="s">
        <v>150</v>
      </c>
      <c r="T23" s="2" t="s">
        <v>151</v>
      </c>
      <c r="U23" s="2" t="s">
        <v>150</v>
      </c>
      <c r="V23" s="2">
        <v>0.23106231830325261</v>
      </c>
      <c r="W23" s="2">
        <v>2.2837096695434584</v>
      </c>
      <c r="X23" s="2"/>
      <c r="Y23" s="2">
        <v>9.6110319464948955</v>
      </c>
      <c r="Z23" s="2">
        <v>10.257561113431985</v>
      </c>
      <c r="AA23" s="2">
        <v>10.133591675776172</v>
      </c>
      <c r="AB23" s="2">
        <v>10.244663736206935</v>
      </c>
      <c r="AC23" s="2">
        <v>10.495037925793865</v>
      </c>
      <c r="AD23" s="2">
        <v>10.248518074439605</v>
      </c>
      <c r="AE23" s="2" t="s">
        <v>41</v>
      </c>
      <c r="AF23" s="2" t="s">
        <v>152</v>
      </c>
      <c r="AG23" s="2" t="s">
        <v>43</v>
      </c>
    </row>
    <row r="24" spans="1:33">
      <c r="A24" s="2">
        <v>23</v>
      </c>
      <c r="B24" s="2">
        <v>31</v>
      </c>
      <c r="C24" s="2">
        <v>22</v>
      </c>
      <c r="D24" s="2" t="s">
        <v>33</v>
      </c>
      <c r="E24" s="2" t="s">
        <v>34</v>
      </c>
      <c r="F24" s="2" t="s">
        <v>153</v>
      </c>
      <c r="G24" s="2" t="s">
        <v>154</v>
      </c>
      <c r="H24" s="2" t="s">
        <v>65</v>
      </c>
      <c r="I24" s="2">
        <v>46252</v>
      </c>
      <c r="J24" s="2">
        <v>46252.773434780094</v>
      </c>
      <c r="K24" s="2">
        <v>5</v>
      </c>
      <c r="L24" s="2">
        <v>5</v>
      </c>
      <c r="M24" s="2">
        <v>5</v>
      </c>
      <c r="N24" s="2">
        <f t="shared" si="0"/>
        <v>25</v>
      </c>
      <c r="O24" s="2" t="s">
        <v>38</v>
      </c>
      <c r="P24" s="2"/>
      <c r="Q24" s="2"/>
      <c r="R24" s="2">
        <v>10.09725154341233</v>
      </c>
      <c r="S24" s="2" t="s">
        <v>155</v>
      </c>
      <c r="T24" s="2" t="s">
        <v>67</v>
      </c>
      <c r="U24" s="2" t="s">
        <v>155</v>
      </c>
      <c r="V24" s="2">
        <v>0.14250283215948722</v>
      </c>
      <c r="W24" s="2">
        <v>1.4113031803437561</v>
      </c>
      <c r="X24" s="2"/>
      <c r="Y24" s="2">
        <v>9.0055107101618326</v>
      </c>
      <c r="Z24" s="2">
        <v>10.416096125274597</v>
      </c>
      <c r="AA24" s="2">
        <v>10.46235517362382</v>
      </c>
      <c r="AB24" s="2">
        <v>10.513437122494661</v>
      </c>
      <c r="AC24" s="2">
        <v>10.2076846922795</v>
      </c>
      <c r="AD24" s="2">
        <v>10.51100471833252</v>
      </c>
      <c r="AE24" s="2" t="s">
        <v>41</v>
      </c>
      <c r="AF24" s="2" t="s">
        <v>156</v>
      </c>
      <c r="AG24" s="2" t="s">
        <v>43</v>
      </c>
    </row>
    <row r="25" spans="1:33">
      <c r="A25" s="2">
        <v>24</v>
      </c>
      <c r="B25" s="2">
        <v>34</v>
      </c>
      <c r="C25" s="2">
        <v>15</v>
      </c>
      <c r="D25" s="2" t="s">
        <v>33</v>
      </c>
      <c r="E25" s="2" t="s">
        <v>34</v>
      </c>
      <c r="F25" s="2" t="s">
        <v>157</v>
      </c>
      <c r="G25" s="2" t="s">
        <v>158</v>
      </c>
      <c r="H25" s="2" t="s">
        <v>65</v>
      </c>
      <c r="I25" s="2">
        <v>46252</v>
      </c>
      <c r="J25" s="2">
        <v>46252.755540127313</v>
      </c>
      <c r="K25" s="2">
        <v>5</v>
      </c>
      <c r="L25" s="2">
        <v>5</v>
      </c>
      <c r="M25" s="2">
        <v>5</v>
      </c>
      <c r="N25" s="2">
        <f t="shared" si="0"/>
        <v>25</v>
      </c>
      <c r="O25" s="2" t="s">
        <v>38</v>
      </c>
      <c r="P25" s="2"/>
      <c r="Q25" s="2"/>
      <c r="R25" s="2">
        <v>10.095205356030407</v>
      </c>
      <c r="S25" s="2" t="s">
        <v>159</v>
      </c>
      <c r="T25" s="2" t="s">
        <v>130</v>
      </c>
      <c r="U25" s="2" t="s">
        <v>159</v>
      </c>
      <c r="V25" s="2">
        <v>8.1427638677967346E-2</v>
      </c>
      <c r="W25" s="2">
        <v>0.80659714989677</v>
      </c>
      <c r="X25" s="2"/>
      <c r="Y25" s="2">
        <v>8.9353274753397205</v>
      </c>
      <c r="Z25" s="2">
        <v>10.43626227626315</v>
      </c>
      <c r="AA25" s="2">
        <v>10.409088345335809</v>
      </c>
      <c r="AB25" s="2">
        <v>10.457903039005862</v>
      </c>
      <c r="AC25" s="2">
        <v>10.436069507776597</v>
      </c>
      <c r="AD25" s="2">
        <v>10.442785842012093</v>
      </c>
      <c r="AE25" s="2" t="s">
        <v>41</v>
      </c>
      <c r="AF25" s="2" t="s">
        <v>160</v>
      </c>
      <c r="AG25" s="2" t="s">
        <v>43</v>
      </c>
    </row>
    <row r="26" spans="1:33">
      <c r="A26" s="2">
        <v>25</v>
      </c>
      <c r="B26" s="2">
        <v>30</v>
      </c>
      <c r="C26" s="2">
        <v>24</v>
      </c>
      <c r="D26" s="2" t="s">
        <v>33</v>
      </c>
      <c r="E26" s="2" t="s">
        <v>34</v>
      </c>
      <c r="F26" s="2" t="s">
        <v>161</v>
      </c>
      <c r="G26" s="2" t="s">
        <v>162</v>
      </c>
      <c r="H26" s="2" t="s">
        <v>65</v>
      </c>
      <c r="I26" s="2">
        <v>46252</v>
      </c>
      <c r="J26" s="2">
        <v>46252.786767500002</v>
      </c>
      <c r="K26" s="2">
        <v>5</v>
      </c>
      <c r="L26" s="2">
        <v>5</v>
      </c>
      <c r="M26" s="2">
        <v>5</v>
      </c>
      <c r="N26" s="2">
        <f t="shared" si="0"/>
        <v>25</v>
      </c>
      <c r="O26" s="2" t="s">
        <v>38</v>
      </c>
      <c r="P26" s="2"/>
      <c r="Q26" s="2"/>
      <c r="R26" s="2">
        <v>10.091769050394902</v>
      </c>
      <c r="S26" s="2" t="s">
        <v>163</v>
      </c>
      <c r="T26" s="2" t="s">
        <v>85</v>
      </c>
      <c r="U26" s="2" t="s">
        <v>163</v>
      </c>
      <c r="V26" s="2">
        <v>0.20659592112965686</v>
      </c>
      <c r="W26" s="2">
        <v>2.0471725036312889</v>
      </c>
      <c r="X26" s="2"/>
      <c r="Y26" s="2">
        <v>9.0129460943607143</v>
      </c>
      <c r="Z26" s="2">
        <v>10.403991146528789</v>
      </c>
      <c r="AA26" s="2">
        <v>10.158170378423637</v>
      </c>
      <c r="AB26" s="2">
        <v>10.470069713555269</v>
      </c>
      <c r="AC26" s="2">
        <v>10.504961845138862</v>
      </c>
      <c r="AD26" s="2">
        <v>10.51908359755582</v>
      </c>
      <c r="AE26" s="2" t="s">
        <v>41</v>
      </c>
      <c r="AF26" s="2" t="s">
        <v>164</v>
      </c>
      <c r="AG26" s="2" t="s">
        <v>43</v>
      </c>
    </row>
    <row r="27" spans="1:33">
      <c r="A27" s="2">
        <v>26</v>
      </c>
      <c r="B27" s="2">
        <v>9</v>
      </c>
      <c r="C27" s="2">
        <v>37</v>
      </c>
      <c r="D27" s="2" t="s">
        <v>33</v>
      </c>
      <c r="E27" s="2" t="s">
        <v>34</v>
      </c>
      <c r="F27" s="2" t="s">
        <v>165</v>
      </c>
      <c r="G27" s="2" t="s">
        <v>166</v>
      </c>
      <c r="H27" s="2" t="s">
        <v>52</v>
      </c>
      <c r="I27" s="2">
        <v>46252</v>
      </c>
      <c r="J27" s="2">
        <v>46252.742147094905</v>
      </c>
      <c r="K27" s="2">
        <v>5</v>
      </c>
      <c r="L27" s="2">
        <v>5</v>
      </c>
      <c r="M27" s="2">
        <v>5</v>
      </c>
      <c r="N27" s="2">
        <f t="shared" si="0"/>
        <v>25</v>
      </c>
      <c r="O27" s="2" t="s">
        <v>38</v>
      </c>
      <c r="P27" s="2"/>
      <c r="Q27" s="2"/>
      <c r="R27" s="2">
        <v>10.089935423764576</v>
      </c>
      <c r="S27" s="2" t="s">
        <v>167</v>
      </c>
      <c r="T27" s="2" t="s">
        <v>117</v>
      </c>
      <c r="U27" s="2" t="s">
        <v>167</v>
      </c>
      <c r="V27" s="2">
        <v>0.29099631348862992</v>
      </c>
      <c r="W27" s="2">
        <v>2.884025529075771</v>
      </c>
      <c r="X27" s="2"/>
      <c r="Y27" s="2">
        <v>9.2883011430090452</v>
      </c>
      <c r="Z27" s="2">
        <v>10.316387718250096</v>
      </c>
      <c r="AA27" s="2">
        <v>10.414650866755935</v>
      </c>
      <c r="AB27" s="2">
        <v>10.262440717163688</v>
      </c>
      <c r="AC27" s="2">
        <v>10.300620383519512</v>
      </c>
      <c r="AD27" s="2">
        <v>10.296892406173608</v>
      </c>
      <c r="AE27" s="2" t="s">
        <v>41</v>
      </c>
      <c r="AF27" s="2" t="s">
        <v>168</v>
      </c>
      <c r="AG27" s="2" t="s">
        <v>43</v>
      </c>
    </row>
    <row r="28" spans="1:33">
      <c r="A28" s="2">
        <v>27</v>
      </c>
      <c r="B28" s="2">
        <v>36</v>
      </c>
      <c r="C28" s="2">
        <v>17</v>
      </c>
      <c r="D28" s="2" t="s">
        <v>33</v>
      </c>
      <c r="E28" s="2" t="s">
        <v>34</v>
      </c>
      <c r="F28" s="2" t="s">
        <v>169</v>
      </c>
      <c r="G28" s="2" t="s">
        <v>170</v>
      </c>
      <c r="H28" s="2" t="s">
        <v>52</v>
      </c>
      <c r="I28" s="2">
        <v>46252</v>
      </c>
      <c r="J28" s="2">
        <v>46252.715335231478</v>
      </c>
      <c r="K28" s="2">
        <v>5</v>
      </c>
      <c r="L28" s="2">
        <v>5</v>
      </c>
      <c r="M28" s="2">
        <v>5</v>
      </c>
      <c r="N28" s="2">
        <f t="shared" si="0"/>
        <v>25</v>
      </c>
      <c r="O28" s="2" t="s">
        <v>38</v>
      </c>
      <c r="P28" s="2"/>
      <c r="Q28" s="2"/>
      <c r="R28" s="2">
        <v>10.087546272077258</v>
      </c>
      <c r="S28" s="2" t="s">
        <v>171</v>
      </c>
      <c r="T28" s="2" t="s">
        <v>141</v>
      </c>
      <c r="U28" s="2" t="s">
        <v>171</v>
      </c>
      <c r="V28" s="2">
        <v>0.114032088754802</v>
      </c>
      <c r="W28" s="2">
        <v>1.1304244429633745</v>
      </c>
      <c r="X28" s="2"/>
      <c r="Y28" s="2">
        <v>8.9154117654400711</v>
      </c>
      <c r="Z28" s="2">
        <v>10.430919153587938</v>
      </c>
      <c r="AA28" s="2">
        <v>10.507580967256359</v>
      </c>
      <c r="AB28" s="2">
        <v>10.532157259725375</v>
      </c>
      <c r="AC28" s="2">
        <v>10.505038362233501</v>
      </c>
      <c r="AD28" s="2">
        <v>10.209267946192076</v>
      </c>
      <c r="AE28" s="2" t="s">
        <v>41</v>
      </c>
      <c r="AF28" s="2" t="s">
        <v>172</v>
      </c>
      <c r="AG28" s="2" t="s">
        <v>43</v>
      </c>
    </row>
    <row r="29" spans="1:33">
      <c r="A29" s="2">
        <v>28</v>
      </c>
      <c r="B29" s="2">
        <v>33</v>
      </c>
      <c r="C29" s="2">
        <v>23</v>
      </c>
      <c r="D29" s="2" t="s">
        <v>33</v>
      </c>
      <c r="E29" s="2" t="s">
        <v>34</v>
      </c>
      <c r="F29" s="2" t="s">
        <v>173</v>
      </c>
      <c r="G29" s="2" t="s">
        <v>174</v>
      </c>
      <c r="H29" s="2" t="s">
        <v>94</v>
      </c>
      <c r="I29" s="2">
        <v>46252</v>
      </c>
      <c r="J29" s="2">
        <v>46252.810956331021</v>
      </c>
      <c r="K29" s="2">
        <v>5</v>
      </c>
      <c r="L29" s="2">
        <v>5</v>
      </c>
      <c r="M29" s="2">
        <v>5</v>
      </c>
      <c r="N29" s="2">
        <f t="shared" si="0"/>
        <v>25</v>
      </c>
      <c r="O29" s="2" t="s">
        <v>38</v>
      </c>
      <c r="P29" s="2"/>
      <c r="Q29" s="2"/>
      <c r="R29" s="2">
        <v>10.082268489792471</v>
      </c>
      <c r="S29" s="2" t="s">
        <v>175</v>
      </c>
      <c r="T29" s="2" t="s">
        <v>176</v>
      </c>
      <c r="U29" s="2" t="s">
        <v>175</v>
      </c>
      <c r="V29" s="2">
        <v>0.18876342041014085</v>
      </c>
      <c r="W29" s="2">
        <v>1.872231637168257</v>
      </c>
      <c r="X29" s="2"/>
      <c r="Y29" s="2">
        <v>8.9598828870203171</v>
      </c>
      <c r="Z29" s="2">
        <v>10.409825806707985</v>
      </c>
      <c r="AA29" s="2">
        <v>10.512003554311377</v>
      </c>
      <c r="AB29" s="2">
        <v>10.471867769380157</v>
      </c>
      <c r="AC29" s="2">
        <v>10.320331519782714</v>
      </c>
      <c r="AD29" s="2">
        <v>10.343255613811623</v>
      </c>
      <c r="AE29" s="2" t="s">
        <v>41</v>
      </c>
      <c r="AF29" s="2" t="s">
        <v>177</v>
      </c>
      <c r="AG29" s="2" t="s">
        <v>43</v>
      </c>
    </row>
    <row r="30" spans="1:33">
      <c r="A30" s="2">
        <v>29</v>
      </c>
      <c r="B30" s="2">
        <v>18</v>
      </c>
      <c r="C30" s="2">
        <v>33</v>
      </c>
      <c r="D30" s="2" t="s">
        <v>33</v>
      </c>
      <c r="E30" s="2" t="s">
        <v>34</v>
      </c>
      <c r="F30" s="2" t="s">
        <v>178</v>
      </c>
      <c r="G30" s="2" t="s">
        <v>179</v>
      </c>
      <c r="H30" s="2" t="s">
        <v>94</v>
      </c>
      <c r="I30" s="2">
        <v>46252</v>
      </c>
      <c r="J30" s="2">
        <v>46252.800191527778</v>
      </c>
      <c r="K30" s="2">
        <v>5</v>
      </c>
      <c r="L30" s="2">
        <v>5</v>
      </c>
      <c r="M30" s="2">
        <v>5</v>
      </c>
      <c r="N30" s="2">
        <f t="shared" si="0"/>
        <v>25</v>
      </c>
      <c r="O30" s="2" t="s">
        <v>38</v>
      </c>
      <c r="P30" s="2"/>
      <c r="Q30" s="2"/>
      <c r="R30" s="2">
        <v>10.081846424790619</v>
      </c>
      <c r="S30" s="2" t="s">
        <v>180</v>
      </c>
      <c r="T30" s="2" t="s">
        <v>111</v>
      </c>
      <c r="U30" s="2" t="s">
        <v>180</v>
      </c>
      <c r="V30" s="2">
        <v>0.26583347496323617</v>
      </c>
      <c r="W30" s="2">
        <v>2.6367538619668771</v>
      </c>
      <c r="X30" s="2"/>
      <c r="Y30" s="2">
        <v>9.1538687221696833</v>
      </c>
      <c r="Z30" s="2">
        <v>10.348054666292313</v>
      </c>
      <c r="AA30" s="2">
        <v>10.521055239700226</v>
      </c>
      <c r="AB30" s="2">
        <v>10.489877259448786</v>
      </c>
      <c r="AC30" s="2">
        <v>9.9653154445639771</v>
      </c>
      <c r="AD30" s="2">
        <v>10.472545171483249</v>
      </c>
      <c r="AE30" s="2" t="s">
        <v>41</v>
      </c>
      <c r="AF30" s="2" t="s">
        <v>181</v>
      </c>
      <c r="AG30" s="2" t="s">
        <v>43</v>
      </c>
    </row>
    <row r="31" spans="1:33">
      <c r="A31" s="2">
        <v>30</v>
      </c>
      <c r="B31" s="2">
        <v>17</v>
      </c>
      <c r="C31" s="2">
        <v>36</v>
      </c>
      <c r="D31" s="2" t="s">
        <v>33</v>
      </c>
      <c r="E31" s="2" t="s">
        <v>34</v>
      </c>
      <c r="F31" s="2" t="s">
        <v>182</v>
      </c>
      <c r="G31" s="2" t="s">
        <v>183</v>
      </c>
      <c r="H31" s="2" t="s">
        <v>52</v>
      </c>
      <c r="I31" s="2">
        <v>46252</v>
      </c>
      <c r="J31" s="2">
        <v>46252.71979265046</v>
      </c>
      <c r="K31" s="2">
        <v>5</v>
      </c>
      <c r="L31" s="2">
        <v>5</v>
      </c>
      <c r="M31" s="2">
        <v>5</v>
      </c>
      <c r="N31" s="2">
        <f t="shared" si="0"/>
        <v>25</v>
      </c>
      <c r="O31" s="2" t="s">
        <v>38</v>
      </c>
      <c r="P31" s="2"/>
      <c r="Q31" s="2"/>
      <c r="R31" s="2">
        <v>10.076570997857466</v>
      </c>
      <c r="S31" s="2" t="s">
        <v>184</v>
      </c>
      <c r="T31" s="2" t="s">
        <v>141</v>
      </c>
      <c r="U31" s="2" t="s">
        <v>184</v>
      </c>
      <c r="V31" s="2">
        <v>0.20325293773103517</v>
      </c>
      <c r="W31" s="2">
        <v>2.0170843610812836</v>
      </c>
      <c r="X31" s="2"/>
      <c r="Y31" s="2">
        <v>9.2105239814507414</v>
      </c>
      <c r="Z31" s="2">
        <v>10.321580637892408</v>
      </c>
      <c r="AA31" s="2">
        <v>10.181905100286892</v>
      </c>
      <c r="AB31" s="2">
        <v>10.475612376646188</v>
      </c>
      <c r="AC31" s="2">
        <v>10.212788151936678</v>
      </c>
      <c r="AD31" s="2">
        <v>10.463754705817784</v>
      </c>
      <c r="AE31" s="2" t="s">
        <v>41</v>
      </c>
      <c r="AF31" s="2" t="s">
        <v>185</v>
      </c>
      <c r="AG31" s="2" t="s">
        <v>43</v>
      </c>
    </row>
    <row r="32" spans="1:33">
      <c r="A32" s="2">
        <v>31</v>
      </c>
      <c r="B32" s="2">
        <v>35</v>
      </c>
      <c r="C32" s="2">
        <v>26</v>
      </c>
      <c r="D32" s="2" t="s">
        <v>33</v>
      </c>
      <c r="E32" s="2" t="s">
        <v>34</v>
      </c>
      <c r="F32" s="2" t="s">
        <v>186</v>
      </c>
      <c r="G32" s="2" t="s">
        <v>187</v>
      </c>
      <c r="H32" s="2" t="s">
        <v>65</v>
      </c>
      <c r="I32" s="2">
        <v>46252</v>
      </c>
      <c r="J32" s="2">
        <v>46252.764488692126</v>
      </c>
      <c r="K32" s="2">
        <v>5</v>
      </c>
      <c r="L32" s="2">
        <v>5</v>
      </c>
      <c r="M32" s="2">
        <v>5</v>
      </c>
      <c r="N32" s="2">
        <f t="shared" si="0"/>
        <v>25</v>
      </c>
      <c r="O32" s="2" t="s">
        <v>38</v>
      </c>
      <c r="P32" s="2"/>
      <c r="Q32" s="2"/>
      <c r="R32" s="2">
        <v>10.070464470038766</v>
      </c>
      <c r="S32" s="2" t="s">
        <v>188</v>
      </c>
      <c r="T32" s="2" t="s">
        <v>130</v>
      </c>
      <c r="U32" s="2" t="s">
        <v>188</v>
      </c>
      <c r="V32" s="2">
        <v>0.15520804079201592</v>
      </c>
      <c r="W32" s="2">
        <v>1.541220280889571</v>
      </c>
      <c r="X32" s="2"/>
      <c r="Y32" s="2">
        <v>8.9343079198172966</v>
      </c>
      <c r="Z32" s="2">
        <v>10.402416163224217</v>
      </c>
      <c r="AA32" s="2">
        <v>10.369786087457685</v>
      </c>
      <c r="AB32" s="2">
        <v>10.415663975602621</v>
      </c>
      <c r="AC32" s="2">
        <v>10.417306398712864</v>
      </c>
      <c r="AD32" s="2">
        <v>10.407866201492984</v>
      </c>
      <c r="AE32" s="2" t="s">
        <v>41</v>
      </c>
      <c r="AF32" s="2" t="s">
        <v>189</v>
      </c>
      <c r="AG32" s="2" t="s">
        <v>43</v>
      </c>
    </row>
    <row r="33" spans="1:33">
      <c r="A33" s="2">
        <v>32</v>
      </c>
      <c r="B33" s="2">
        <v>16</v>
      </c>
      <c r="C33" s="2">
        <v>38</v>
      </c>
      <c r="D33" s="2" t="s">
        <v>33</v>
      </c>
      <c r="E33" s="2" t="s">
        <v>34</v>
      </c>
      <c r="F33" s="2" t="s">
        <v>190</v>
      </c>
      <c r="G33" s="2" t="s">
        <v>191</v>
      </c>
      <c r="H33" s="2" t="s">
        <v>52</v>
      </c>
      <c r="I33" s="2">
        <v>46252</v>
      </c>
      <c r="J33" s="2">
        <v>46252.733152696761</v>
      </c>
      <c r="K33" s="2">
        <v>5</v>
      </c>
      <c r="L33" s="2">
        <v>5</v>
      </c>
      <c r="M33" s="2">
        <v>5</v>
      </c>
      <c r="N33" s="2">
        <f t="shared" si="0"/>
        <v>25</v>
      </c>
      <c r="O33" s="2" t="s">
        <v>38</v>
      </c>
      <c r="P33" s="2"/>
      <c r="Q33" s="2"/>
      <c r="R33" s="2">
        <v>10.068193689270034</v>
      </c>
      <c r="S33" s="2" t="s">
        <v>192</v>
      </c>
      <c r="T33" s="2" t="s">
        <v>54</v>
      </c>
      <c r="U33" s="2" t="s">
        <v>192</v>
      </c>
      <c r="V33" s="2">
        <v>0.20974686645454377</v>
      </c>
      <c r="W33" s="2">
        <v>2.0832621314990902</v>
      </c>
      <c r="X33" s="2"/>
      <c r="Y33" s="2">
        <v>9.2111508638865782</v>
      </c>
      <c r="Z33" s="2">
        <v>10.314433233399134</v>
      </c>
      <c r="AA33" s="2">
        <v>10.425394171996217</v>
      </c>
      <c r="AB33" s="2">
        <v>10.217216772845118</v>
      </c>
      <c r="AC33" s="2">
        <v>10.474674229263558</v>
      </c>
      <c r="AD33" s="2">
        <v>10.191270054505491</v>
      </c>
      <c r="AE33" s="2" t="s">
        <v>41</v>
      </c>
      <c r="AF33" s="2" t="s">
        <v>193</v>
      </c>
      <c r="AG33" s="2" t="s">
        <v>43</v>
      </c>
    </row>
    <row r="34" spans="1:33">
      <c r="A34" s="2">
        <v>33</v>
      </c>
      <c r="B34" s="2">
        <v>14</v>
      </c>
      <c r="C34" s="2">
        <v>39</v>
      </c>
      <c r="D34" s="2" t="s">
        <v>33</v>
      </c>
      <c r="E34" s="2" t="s">
        <v>34</v>
      </c>
      <c r="F34" s="2" t="s">
        <v>194</v>
      </c>
      <c r="G34" s="2" t="s">
        <v>195</v>
      </c>
      <c r="H34" s="2" t="s">
        <v>37</v>
      </c>
      <c r="I34" s="2">
        <v>46252</v>
      </c>
      <c r="J34" s="2">
        <v>46252.842317268522</v>
      </c>
      <c r="K34" s="2">
        <v>5</v>
      </c>
      <c r="L34" s="2">
        <v>5</v>
      </c>
      <c r="M34" s="2">
        <v>5</v>
      </c>
      <c r="N34" s="2">
        <f t="shared" ref="N34:N65" si="1">IF(OR(L34="",M34=""),"",L34*M34)</f>
        <v>25</v>
      </c>
      <c r="O34" s="2" t="s">
        <v>38</v>
      </c>
      <c r="P34" s="2"/>
      <c r="Q34" s="2"/>
      <c r="R34" s="2">
        <v>10.065194269247725</v>
      </c>
      <c r="S34" s="2" t="s">
        <v>196</v>
      </c>
      <c r="T34" s="2" t="s">
        <v>146</v>
      </c>
      <c r="U34" s="2" t="s">
        <v>196</v>
      </c>
      <c r="V34" s="2">
        <v>0.21595475401333267</v>
      </c>
      <c r="W34" s="2">
        <v>2.1455597203239396</v>
      </c>
      <c r="X34" s="2"/>
      <c r="Y34" s="2">
        <v>9.21520687170276</v>
      </c>
      <c r="Z34" s="2">
        <v>10.312434378788133</v>
      </c>
      <c r="AA34" s="2">
        <v>10.176798571293071</v>
      </c>
      <c r="AB34" s="2">
        <v>10.475772064673107</v>
      </c>
      <c r="AC34" s="2">
        <v>10.20590407281782</v>
      </c>
      <c r="AD34" s="2">
        <v>10.451223511947116</v>
      </c>
      <c r="AE34" s="2" t="s">
        <v>41</v>
      </c>
      <c r="AF34" s="2" t="s">
        <v>197</v>
      </c>
      <c r="AG34" s="2" t="s">
        <v>43</v>
      </c>
    </row>
    <row r="35" spans="1:33">
      <c r="A35" s="2">
        <v>34</v>
      </c>
      <c r="B35" s="2">
        <v>26</v>
      </c>
      <c r="C35" s="2">
        <v>32</v>
      </c>
      <c r="D35" s="2" t="s">
        <v>33</v>
      </c>
      <c r="E35" s="2" t="s">
        <v>34</v>
      </c>
      <c r="F35" s="2" t="s">
        <v>198</v>
      </c>
      <c r="G35" s="2" t="s">
        <v>199</v>
      </c>
      <c r="H35" s="2" t="s">
        <v>65</v>
      </c>
      <c r="I35" s="2">
        <v>46252</v>
      </c>
      <c r="J35" s="2">
        <v>46252.768953981482</v>
      </c>
      <c r="K35" s="2">
        <v>5</v>
      </c>
      <c r="L35" s="2">
        <v>5</v>
      </c>
      <c r="M35" s="2">
        <v>5</v>
      </c>
      <c r="N35" s="2">
        <f t="shared" si="1"/>
        <v>25</v>
      </c>
      <c r="O35" s="2" t="s">
        <v>38</v>
      </c>
      <c r="P35" s="2"/>
      <c r="Q35" s="2"/>
      <c r="R35" s="2">
        <v>10.056496276597025</v>
      </c>
      <c r="S35" s="2" t="s">
        <v>200</v>
      </c>
      <c r="T35" s="2" t="s">
        <v>67</v>
      </c>
      <c r="U35" s="2" t="s">
        <v>200</v>
      </c>
      <c r="V35" s="2">
        <v>0.21270096089705978</v>
      </c>
      <c r="W35" s="2">
        <v>2.115060305765208</v>
      </c>
      <c r="X35" s="2"/>
      <c r="Y35" s="2">
        <v>9.0483471472827972</v>
      </c>
      <c r="Z35" s="2">
        <v>10.353600598289086</v>
      </c>
      <c r="AA35" s="2">
        <v>10.151445617800832</v>
      </c>
      <c r="AB35" s="2">
        <v>10.431380783318186</v>
      </c>
      <c r="AC35" s="2">
        <v>10.458052206383899</v>
      </c>
      <c r="AD35" s="2">
        <v>10.408428266966915</v>
      </c>
      <c r="AE35" s="2" t="s">
        <v>41</v>
      </c>
      <c r="AF35" s="2" t="s">
        <v>201</v>
      </c>
      <c r="AG35" s="2" t="s">
        <v>43</v>
      </c>
    </row>
    <row r="36" spans="1:33">
      <c r="A36" s="2">
        <v>35</v>
      </c>
      <c r="B36" s="2">
        <v>40</v>
      </c>
      <c r="C36" s="2">
        <v>27</v>
      </c>
      <c r="D36" s="2" t="s">
        <v>33</v>
      </c>
      <c r="E36" s="2" t="s">
        <v>34</v>
      </c>
      <c r="F36" s="2" t="s">
        <v>202</v>
      </c>
      <c r="G36" s="2" t="s">
        <v>203</v>
      </c>
      <c r="H36" s="2" t="s">
        <v>52</v>
      </c>
      <c r="I36" s="2">
        <v>46252</v>
      </c>
      <c r="J36" s="2">
        <v>46252.706404444441</v>
      </c>
      <c r="K36" s="2">
        <v>5</v>
      </c>
      <c r="L36" s="2">
        <v>5</v>
      </c>
      <c r="M36" s="2">
        <v>5</v>
      </c>
      <c r="N36" s="2">
        <f t="shared" si="1"/>
        <v>25</v>
      </c>
      <c r="O36" s="2" t="s">
        <v>38</v>
      </c>
      <c r="P36" s="2"/>
      <c r="Q36" s="2"/>
      <c r="R36" s="2">
        <v>10.047568296932237</v>
      </c>
      <c r="S36" s="2" t="s">
        <v>204</v>
      </c>
      <c r="T36" s="2" t="s">
        <v>141</v>
      </c>
      <c r="U36" s="2" t="s">
        <v>204</v>
      </c>
      <c r="V36" s="2">
        <v>0.12169431495169733</v>
      </c>
      <c r="W36" s="2">
        <v>1.2111817641374332</v>
      </c>
      <c r="X36" s="2"/>
      <c r="Y36" s="2">
        <v>8.863005960575725</v>
      </c>
      <c r="Z36" s="2">
        <v>10.395366965655331</v>
      </c>
      <c r="AA36" s="2">
        <v>10.464670643922533</v>
      </c>
      <c r="AB36" s="2">
        <v>10.469868233635534</v>
      </c>
      <c r="AC36" s="2">
        <v>10.198966175227669</v>
      </c>
      <c r="AD36" s="2">
        <v>10.471797185301392</v>
      </c>
      <c r="AE36" s="2" t="s">
        <v>41</v>
      </c>
      <c r="AF36" s="2" t="s">
        <v>205</v>
      </c>
      <c r="AG36" s="2" t="s">
        <v>43</v>
      </c>
    </row>
    <row r="37" spans="1:33">
      <c r="A37" s="2">
        <v>36</v>
      </c>
      <c r="B37" s="2">
        <v>43</v>
      </c>
      <c r="C37" s="2">
        <v>28</v>
      </c>
      <c r="D37" s="2" t="s">
        <v>33</v>
      </c>
      <c r="E37" s="2" t="s">
        <v>102</v>
      </c>
      <c r="F37" s="2" t="s">
        <v>206</v>
      </c>
      <c r="G37" s="2" t="s">
        <v>207</v>
      </c>
      <c r="H37" s="2" t="s">
        <v>103</v>
      </c>
      <c r="I37" s="2">
        <v>46253</v>
      </c>
      <c r="J37" s="2">
        <v>46253.403333333335</v>
      </c>
      <c r="K37" s="2">
        <v>6</v>
      </c>
      <c r="L37" s="2">
        <v>6</v>
      </c>
      <c r="M37" s="2">
        <v>5</v>
      </c>
      <c r="N37" s="2">
        <f t="shared" si="1"/>
        <v>30</v>
      </c>
      <c r="O37" s="2" t="s">
        <v>104</v>
      </c>
      <c r="P37" s="2">
        <v>9.1653635752805158</v>
      </c>
      <c r="Q37" s="2">
        <v>8.7626808268298948</v>
      </c>
      <c r="R37" s="2">
        <v>10.035479320361999</v>
      </c>
      <c r="S37" s="2" t="s">
        <v>208</v>
      </c>
      <c r="T37" s="2" t="s">
        <v>209</v>
      </c>
      <c r="U37" s="2" t="s">
        <v>208</v>
      </c>
      <c r="V37" s="2">
        <v>0.14042102065302145</v>
      </c>
      <c r="W37" s="2">
        <v>1.399245777609317</v>
      </c>
      <c r="X37" s="2">
        <v>9.4935213200732385</v>
      </c>
      <c r="Y37" s="2">
        <v>8.8381364256480488</v>
      </c>
      <c r="Z37" s="2">
        <v>10.388686100832347</v>
      </c>
      <c r="AA37" s="2">
        <v>10.518483665233985</v>
      </c>
      <c r="AB37" s="2">
        <v>10.288129564094803</v>
      </c>
      <c r="AC37" s="2">
        <v>10.272422017799492</v>
      </c>
      <c r="AD37" s="2">
        <v>10.523557516519736</v>
      </c>
      <c r="AE37" s="2" t="s">
        <v>210</v>
      </c>
      <c r="AF37" s="2" t="s">
        <v>211</v>
      </c>
      <c r="AG37" s="2" t="s">
        <v>107</v>
      </c>
    </row>
    <row r="38" spans="1:33">
      <c r="A38" s="2">
        <v>37</v>
      </c>
      <c r="B38" s="2">
        <v>44</v>
      </c>
      <c r="C38" s="2">
        <v>30</v>
      </c>
      <c r="D38" s="2" t="s">
        <v>33</v>
      </c>
      <c r="E38" s="2" t="s">
        <v>34</v>
      </c>
      <c r="F38" s="2" t="s">
        <v>212</v>
      </c>
      <c r="G38" s="2" t="s">
        <v>213</v>
      </c>
      <c r="H38" s="2" t="s">
        <v>94</v>
      </c>
      <c r="I38" s="2">
        <v>46252</v>
      </c>
      <c r="J38" s="2">
        <v>46252.795720185182</v>
      </c>
      <c r="K38" s="2">
        <v>5</v>
      </c>
      <c r="L38" s="2">
        <v>5</v>
      </c>
      <c r="M38" s="2">
        <v>5</v>
      </c>
      <c r="N38" s="2">
        <f t="shared" si="1"/>
        <v>25</v>
      </c>
      <c r="O38" s="2" t="s">
        <v>38</v>
      </c>
      <c r="P38" s="2"/>
      <c r="Q38" s="2"/>
      <c r="R38" s="2">
        <v>10.025494082664958</v>
      </c>
      <c r="S38" s="2" t="s">
        <v>214</v>
      </c>
      <c r="T38" s="2" t="s">
        <v>111</v>
      </c>
      <c r="U38" s="2" t="s">
        <v>214</v>
      </c>
      <c r="V38" s="2">
        <v>0.14687195150478402</v>
      </c>
      <c r="W38" s="2">
        <v>1.4649846710172592</v>
      </c>
      <c r="X38" s="2"/>
      <c r="Y38" s="2">
        <v>8.822362052466767</v>
      </c>
      <c r="Z38" s="2">
        <v>10.379851348887799</v>
      </c>
      <c r="AA38" s="2">
        <v>10.450107433266972</v>
      </c>
      <c r="AB38" s="2">
        <v>10.474298829127486</v>
      </c>
      <c r="AC38" s="2">
        <v>10.45404220924263</v>
      </c>
      <c r="AD38" s="2">
        <v>10.170042254427825</v>
      </c>
      <c r="AE38" s="2" t="s">
        <v>41</v>
      </c>
      <c r="AF38" s="2" t="s">
        <v>215</v>
      </c>
      <c r="AG38" s="2" t="s">
        <v>43</v>
      </c>
    </row>
    <row r="39" spans="1:33">
      <c r="A39" s="2">
        <v>38</v>
      </c>
      <c r="B39" s="2">
        <v>42</v>
      </c>
      <c r="C39" s="2">
        <v>31</v>
      </c>
      <c r="D39" s="2" t="s">
        <v>33</v>
      </c>
      <c r="E39" s="2" t="s">
        <v>34</v>
      </c>
      <c r="F39" s="2" t="s">
        <v>216</v>
      </c>
      <c r="G39" s="2" t="s">
        <v>217</v>
      </c>
      <c r="H39" s="2" t="s">
        <v>46</v>
      </c>
      <c r="I39" s="2">
        <v>46252</v>
      </c>
      <c r="J39" s="2">
        <v>46252.87816871528</v>
      </c>
      <c r="K39" s="2">
        <v>5</v>
      </c>
      <c r="L39" s="2">
        <v>5</v>
      </c>
      <c r="M39" s="2">
        <v>5</v>
      </c>
      <c r="N39" s="2">
        <f t="shared" si="1"/>
        <v>25</v>
      </c>
      <c r="O39" s="2" t="s">
        <v>38</v>
      </c>
      <c r="P39" s="2"/>
      <c r="Q39" s="2"/>
      <c r="R39" s="2">
        <v>10.023829942748696</v>
      </c>
      <c r="S39" s="2" t="s">
        <v>218</v>
      </c>
      <c r="T39" s="2" t="s">
        <v>219</v>
      </c>
      <c r="U39" s="2" t="s">
        <v>218</v>
      </c>
      <c r="V39" s="2">
        <v>0.15531147576201573</v>
      </c>
      <c r="W39" s="2">
        <v>1.5494224926907212</v>
      </c>
      <c r="X39" s="2"/>
      <c r="Y39" s="2">
        <v>8.8383375375127997</v>
      </c>
      <c r="Z39" s="2">
        <v>10.372266480936061</v>
      </c>
      <c r="AA39" s="2">
        <v>10.433773173649376</v>
      </c>
      <c r="AB39" s="2">
        <v>10.165355328844925</v>
      </c>
      <c r="AC39" s="2">
        <v>10.467547208881262</v>
      </c>
      <c r="AD39" s="2">
        <v>10.463104895845529</v>
      </c>
      <c r="AE39" s="2" t="s">
        <v>41</v>
      </c>
      <c r="AF39" s="2" t="s">
        <v>220</v>
      </c>
      <c r="AG39" s="2" t="s">
        <v>43</v>
      </c>
    </row>
    <row r="40" spans="1:33">
      <c r="A40" s="2">
        <v>39</v>
      </c>
      <c r="B40" s="2">
        <v>38</v>
      </c>
      <c r="C40" s="2">
        <v>34</v>
      </c>
      <c r="D40" s="2" t="s">
        <v>33</v>
      </c>
      <c r="E40" s="2" t="s">
        <v>102</v>
      </c>
      <c r="F40" s="2" t="s">
        <v>44</v>
      </c>
      <c r="G40" s="2" t="s">
        <v>45</v>
      </c>
      <c r="H40" s="2" t="s">
        <v>103</v>
      </c>
      <c r="I40" s="2">
        <v>46253</v>
      </c>
      <c r="J40" s="2">
        <v>46253.447881944441</v>
      </c>
      <c r="K40" s="2">
        <v>6</v>
      </c>
      <c r="L40" s="2">
        <v>6</v>
      </c>
      <c r="M40" s="2">
        <v>5</v>
      </c>
      <c r="N40" s="2">
        <f t="shared" si="1"/>
        <v>30</v>
      </c>
      <c r="O40" s="2" t="s">
        <v>104</v>
      </c>
      <c r="P40" s="2">
        <v>9.1452940000107787</v>
      </c>
      <c r="Q40" s="2">
        <v>8.8594297695993713</v>
      </c>
      <c r="R40" s="2">
        <v>10.006187271801554</v>
      </c>
      <c r="S40" s="2" t="s">
        <v>47</v>
      </c>
      <c r="T40" s="2" t="s">
        <v>48</v>
      </c>
      <c r="U40" s="2" t="s">
        <v>47</v>
      </c>
      <c r="V40" s="2">
        <v>0.19324195969994346</v>
      </c>
      <c r="W40" s="2">
        <v>1.9312246957891626</v>
      </c>
      <c r="X40" s="2">
        <v>9.4135111653027348</v>
      </c>
      <c r="Y40" s="2">
        <v>8.8728876493903819</v>
      </c>
      <c r="Z40" s="2">
        <v>10.338067074126631</v>
      </c>
      <c r="AA40" s="2">
        <v>10.383018054252574</v>
      </c>
      <c r="AB40" s="2">
        <v>10.409703027509764</v>
      </c>
      <c r="AC40" s="2">
        <v>10.423903810367925</v>
      </c>
      <c r="AD40" s="2">
        <v>10.170398868757781</v>
      </c>
      <c r="AE40" s="2" t="s">
        <v>210</v>
      </c>
      <c r="AF40" s="2" t="s">
        <v>221</v>
      </c>
      <c r="AG40" s="2" t="s">
        <v>107</v>
      </c>
    </row>
    <row r="41" spans="1:33">
      <c r="A41" s="2">
        <v>40</v>
      </c>
      <c r="B41" s="2">
        <v>39</v>
      </c>
      <c r="C41" s="2">
        <v>35</v>
      </c>
      <c r="D41" s="2" t="s">
        <v>33</v>
      </c>
      <c r="E41" s="2" t="s">
        <v>34</v>
      </c>
      <c r="F41" s="2" t="s">
        <v>222</v>
      </c>
      <c r="G41" s="2" t="s">
        <v>223</v>
      </c>
      <c r="H41" s="2" t="s">
        <v>224</v>
      </c>
      <c r="I41" s="2">
        <v>46252</v>
      </c>
      <c r="J41" s="2">
        <v>46252.701926562499</v>
      </c>
      <c r="K41" s="2">
        <v>5</v>
      </c>
      <c r="L41" s="2">
        <v>5</v>
      </c>
      <c r="M41" s="2">
        <v>5</v>
      </c>
      <c r="N41" s="2">
        <f t="shared" si="1"/>
        <v>25</v>
      </c>
      <c r="O41" s="2" t="s">
        <v>38</v>
      </c>
      <c r="P41" s="2"/>
      <c r="Q41" s="2"/>
      <c r="R41" s="2">
        <v>9.9980983110284942</v>
      </c>
      <c r="S41" s="2" t="s">
        <v>225</v>
      </c>
      <c r="T41" s="2" t="s">
        <v>226</v>
      </c>
      <c r="U41" s="2" t="s">
        <v>226</v>
      </c>
      <c r="V41" s="2">
        <v>0.14475545388061356</v>
      </c>
      <c r="W41" s="2">
        <v>1.4478298710159683</v>
      </c>
      <c r="X41" s="2"/>
      <c r="Y41" s="2">
        <v>8.8696009023150779</v>
      </c>
      <c r="Z41" s="2">
        <v>10.330676631164437</v>
      </c>
      <c r="AA41" s="2">
        <v>10.170760514723892</v>
      </c>
      <c r="AB41" s="2">
        <v>10.406248678022681</v>
      </c>
      <c r="AC41" s="2">
        <v>10.406445842801434</v>
      </c>
      <c r="AD41" s="2">
        <v>10.362735055303665</v>
      </c>
      <c r="AE41" s="2" t="s">
        <v>41</v>
      </c>
      <c r="AF41" s="2" t="s">
        <v>227</v>
      </c>
      <c r="AG41" s="2" t="s">
        <v>43</v>
      </c>
    </row>
    <row r="42" spans="1:33">
      <c r="A42" s="2">
        <v>41</v>
      </c>
      <c r="B42" s="2">
        <v>25</v>
      </c>
      <c r="C42" s="2">
        <v>43</v>
      </c>
      <c r="D42" s="2" t="s">
        <v>33</v>
      </c>
      <c r="E42" s="2" t="s">
        <v>34</v>
      </c>
      <c r="F42" s="2" t="s">
        <v>228</v>
      </c>
      <c r="G42" s="2" t="s">
        <v>229</v>
      </c>
      <c r="H42" s="2" t="s">
        <v>52</v>
      </c>
      <c r="I42" s="2">
        <v>46252</v>
      </c>
      <c r="J42" s="2">
        <v>46252.746607928239</v>
      </c>
      <c r="K42" s="2">
        <v>5</v>
      </c>
      <c r="L42" s="2">
        <v>5</v>
      </c>
      <c r="M42" s="2">
        <v>5</v>
      </c>
      <c r="N42" s="2">
        <f t="shared" si="1"/>
        <v>25</v>
      </c>
      <c r="O42" s="2" t="s">
        <v>38</v>
      </c>
      <c r="P42" s="2"/>
      <c r="Q42" s="2"/>
      <c r="R42" s="2">
        <v>9.9935000050148197</v>
      </c>
      <c r="S42" s="2" t="s">
        <v>230</v>
      </c>
      <c r="T42" s="2" t="s">
        <v>117</v>
      </c>
      <c r="U42" s="2" t="s">
        <v>230</v>
      </c>
      <c r="V42" s="2">
        <v>0.16700704107467687</v>
      </c>
      <c r="W42" s="2">
        <v>1.671156661738844</v>
      </c>
      <c r="X42" s="2"/>
      <c r="Y42" s="2">
        <v>9.0504562606867065</v>
      </c>
      <c r="Z42" s="2">
        <v>10.266247406388805</v>
      </c>
      <c r="AA42" s="2">
        <v>10.123736500385705</v>
      </c>
      <c r="AB42" s="2">
        <v>10.422354933504851</v>
      </c>
      <c r="AC42" s="2">
        <v>10.152751470404903</v>
      </c>
      <c r="AD42" s="2">
        <v>10.401360726670076</v>
      </c>
      <c r="AE42" s="2" t="s">
        <v>41</v>
      </c>
      <c r="AF42" s="2" t="s">
        <v>231</v>
      </c>
      <c r="AG42" s="2" t="s">
        <v>43</v>
      </c>
    </row>
    <row r="43" spans="1:33">
      <c r="A43" s="2">
        <v>42</v>
      </c>
      <c r="B43" s="2">
        <v>37</v>
      </c>
      <c r="C43" s="2">
        <v>40</v>
      </c>
      <c r="D43" s="2" t="s">
        <v>33</v>
      </c>
      <c r="E43" s="2" t="s">
        <v>34</v>
      </c>
      <c r="F43" s="2" t="s">
        <v>232</v>
      </c>
      <c r="G43" s="2" t="s">
        <v>233</v>
      </c>
      <c r="H43" s="2" t="s">
        <v>46</v>
      </c>
      <c r="I43" s="2">
        <v>46252</v>
      </c>
      <c r="J43" s="2">
        <v>46252.863746736111</v>
      </c>
      <c r="K43" s="2">
        <v>5</v>
      </c>
      <c r="L43" s="2">
        <v>5</v>
      </c>
      <c r="M43" s="2">
        <v>5</v>
      </c>
      <c r="N43" s="2">
        <f t="shared" si="1"/>
        <v>25</v>
      </c>
      <c r="O43" s="2" t="s">
        <v>38</v>
      </c>
      <c r="P43" s="2"/>
      <c r="Q43" s="2"/>
      <c r="R43" s="2">
        <v>9.9894925407591977</v>
      </c>
      <c r="S43" s="2" t="s">
        <v>234</v>
      </c>
      <c r="T43" s="2" t="s">
        <v>122</v>
      </c>
      <c r="U43" s="2" t="s">
        <v>234</v>
      </c>
      <c r="V43" s="2">
        <v>0.29996228029089028</v>
      </c>
      <c r="W43" s="2">
        <v>3.0027779596108819</v>
      </c>
      <c r="X43" s="2"/>
      <c r="Y43" s="2">
        <v>8.8962430222461233</v>
      </c>
      <c r="Z43" s="2">
        <v>10.308157070677067</v>
      </c>
      <c r="AA43" s="2">
        <v>10.350496487585085</v>
      </c>
      <c r="AB43" s="2">
        <v>10.133441264993571</v>
      </c>
      <c r="AC43" s="2">
        <v>10.381410773107483</v>
      </c>
      <c r="AD43" s="2">
        <v>10.396667684971552</v>
      </c>
      <c r="AE43" s="2" t="s">
        <v>41</v>
      </c>
      <c r="AF43" s="2" t="s">
        <v>235</v>
      </c>
      <c r="AG43" s="2" t="s">
        <v>43</v>
      </c>
    </row>
    <row r="44" spans="1:33">
      <c r="A44" s="2">
        <v>43</v>
      </c>
      <c r="B44" s="2">
        <v>28</v>
      </c>
      <c r="C44" s="2">
        <v>42</v>
      </c>
      <c r="D44" s="2" t="s">
        <v>33</v>
      </c>
      <c r="E44" s="2" t="s">
        <v>34</v>
      </c>
      <c r="F44" s="2" t="s">
        <v>236</v>
      </c>
      <c r="G44" s="2" t="s">
        <v>237</v>
      </c>
      <c r="H44" s="2" t="s">
        <v>65</v>
      </c>
      <c r="I44" s="2">
        <v>46252</v>
      </c>
      <c r="J44" s="2">
        <v>46252.791227430556</v>
      </c>
      <c r="K44" s="2">
        <v>5</v>
      </c>
      <c r="L44" s="2">
        <v>5</v>
      </c>
      <c r="M44" s="2">
        <v>5</v>
      </c>
      <c r="N44" s="2">
        <f t="shared" si="1"/>
        <v>25</v>
      </c>
      <c r="O44" s="2" t="s">
        <v>38</v>
      </c>
      <c r="P44" s="2"/>
      <c r="Q44" s="2"/>
      <c r="R44" s="2">
        <v>9.9856483639682807</v>
      </c>
      <c r="S44" s="2" t="s">
        <v>238</v>
      </c>
      <c r="T44" s="2" t="s">
        <v>85</v>
      </c>
      <c r="U44" s="2" t="s">
        <v>238</v>
      </c>
      <c r="V44" s="2">
        <v>0.27307853725910403</v>
      </c>
      <c r="W44" s="2">
        <v>2.7347101290334548</v>
      </c>
      <c r="X44" s="2"/>
      <c r="Y44" s="2">
        <v>9.0382468777148137</v>
      </c>
      <c r="Z44" s="2">
        <v>10.269605306255313</v>
      </c>
      <c r="AA44" s="2">
        <v>10.400606822375577</v>
      </c>
      <c r="AB44" s="2">
        <v>10.13726419773646</v>
      </c>
      <c r="AC44" s="2">
        <v>10.359635106220743</v>
      </c>
      <c r="AD44" s="2">
        <v>10.205736871111686</v>
      </c>
      <c r="AE44" s="2" t="s">
        <v>41</v>
      </c>
      <c r="AF44" s="2" t="s">
        <v>239</v>
      </c>
      <c r="AG44" s="2" t="s">
        <v>43</v>
      </c>
    </row>
    <row r="45" spans="1:33">
      <c r="A45" s="2">
        <v>44</v>
      </c>
      <c r="B45" s="2">
        <v>41</v>
      </c>
      <c r="C45" s="2">
        <v>41</v>
      </c>
      <c r="D45" s="2" t="s">
        <v>33</v>
      </c>
      <c r="E45" s="2" t="s">
        <v>34</v>
      </c>
      <c r="F45" s="2" t="s">
        <v>240</v>
      </c>
      <c r="G45" s="2" t="s">
        <v>241</v>
      </c>
      <c r="H45" s="2" t="s">
        <v>52</v>
      </c>
      <c r="I45" s="2">
        <v>46252</v>
      </c>
      <c r="J45" s="2">
        <v>46252.737664039349</v>
      </c>
      <c r="K45" s="2">
        <v>5</v>
      </c>
      <c r="L45" s="2">
        <v>5</v>
      </c>
      <c r="M45" s="2">
        <v>5</v>
      </c>
      <c r="N45" s="2">
        <f t="shared" si="1"/>
        <v>25</v>
      </c>
      <c r="O45" s="2" t="s">
        <v>38</v>
      </c>
      <c r="P45" s="2"/>
      <c r="Q45" s="2"/>
      <c r="R45" s="2">
        <v>9.9637876892110189</v>
      </c>
      <c r="S45" s="2" t="s">
        <v>242</v>
      </c>
      <c r="T45" s="2" t="s">
        <v>54</v>
      </c>
      <c r="U45" s="2" t="s">
        <v>242</v>
      </c>
      <c r="V45" s="2">
        <v>0.181604686585287</v>
      </c>
      <c r="W45" s="2">
        <v>1.8226470921488227</v>
      </c>
      <c r="X45" s="2"/>
      <c r="Y45" s="2">
        <v>8.8615259519685328</v>
      </c>
      <c r="Z45" s="2">
        <v>10.283997102112986</v>
      </c>
      <c r="AA45" s="2">
        <v>10.315501999078762</v>
      </c>
      <c r="AB45" s="2">
        <v>10.064331185026672</v>
      </c>
      <c r="AC45" s="2">
        <v>10.2934749980635</v>
      </c>
      <c r="AD45" s="2">
        <v>10.500639768671812</v>
      </c>
      <c r="AE45" s="2" t="s">
        <v>41</v>
      </c>
      <c r="AF45" s="2" t="s">
        <v>243</v>
      </c>
      <c r="AG45" s="2" t="s">
        <v>43</v>
      </c>
    </row>
    <row r="46" spans="1:33">
      <c r="A46" s="2"/>
      <c r="B46" s="2"/>
      <c r="C46" s="2"/>
      <c r="D46" s="2" t="s">
        <v>244</v>
      </c>
      <c r="E46" s="2" t="s">
        <v>34</v>
      </c>
      <c r="F46" s="2" t="s">
        <v>245</v>
      </c>
      <c r="G46" s="2" t="s">
        <v>246</v>
      </c>
      <c r="H46" s="2" t="s">
        <v>94</v>
      </c>
      <c r="I46" s="2">
        <v>46252</v>
      </c>
      <c r="J46" s="2">
        <v>46252.80910215278</v>
      </c>
      <c r="K46" s="2">
        <v>5</v>
      </c>
      <c r="L46" s="2">
        <v>2</v>
      </c>
      <c r="M46" s="2">
        <v>5</v>
      </c>
      <c r="N46" s="2">
        <f t="shared" si="1"/>
        <v>10</v>
      </c>
      <c r="O46" s="2" t="s">
        <v>38</v>
      </c>
      <c r="P46" s="2"/>
      <c r="Q46" s="2"/>
      <c r="R46" s="2"/>
      <c r="S46" s="2" t="s">
        <v>247</v>
      </c>
      <c r="T46" s="2" t="s">
        <v>176</v>
      </c>
      <c r="U46" s="2" t="s">
        <v>247</v>
      </c>
      <c r="V46" s="2"/>
      <c r="W46" s="2"/>
      <c r="X46" s="2"/>
      <c r="Y46" s="2"/>
      <c r="Z46" s="2"/>
      <c r="AA46" s="2"/>
      <c r="AB46" s="2"/>
      <c r="AC46" s="2"/>
      <c r="AD46" s="2"/>
      <c r="AE46" s="2" t="s">
        <v>41</v>
      </c>
      <c r="AF46" s="2" t="s">
        <v>248</v>
      </c>
      <c r="AG46" s="2" t="s">
        <v>249</v>
      </c>
    </row>
    <row r="47" spans="1:33">
      <c r="A47" s="2"/>
      <c r="B47" s="2"/>
      <c r="C47" s="2"/>
      <c r="D47" s="2" t="s">
        <v>244</v>
      </c>
      <c r="E47" s="2" t="s">
        <v>34</v>
      </c>
      <c r="F47" s="2" t="s">
        <v>250</v>
      </c>
      <c r="G47" s="2" t="s">
        <v>251</v>
      </c>
      <c r="H47" s="2" t="s">
        <v>94</v>
      </c>
      <c r="I47" s="2">
        <v>46252</v>
      </c>
      <c r="J47" s="2">
        <v>46252.815432951385</v>
      </c>
      <c r="K47" s="2">
        <v>5</v>
      </c>
      <c r="L47" s="2">
        <v>3</v>
      </c>
      <c r="M47" s="2">
        <v>5</v>
      </c>
      <c r="N47" s="2">
        <f t="shared" si="1"/>
        <v>15</v>
      </c>
      <c r="O47" s="2" t="s">
        <v>38</v>
      </c>
      <c r="P47" s="2"/>
      <c r="Q47" s="2"/>
      <c r="R47" s="2"/>
      <c r="S47" s="2" t="s">
        <v>252</v>
      </c>
      <c r="T47" s="2" t="s">
        <v>176</v>
      </c>
      <c r="U47" s="2" t="s">
        <v>252</v>
      </c>
      <c r="V47" s="2"/>
      <c r="W47" s="2"/>
      <c r="X47" s="2"/>
      <c r="Y47" s="2"/>
      <c r="Z47" s="2"/>
      <c r="AA47" s="2"/>
      <c r="AB47" s="2"/>
      <c r="AC47" s="2"/>
      <c r="AD47" s="2"/>
      <c r="AE47" s="2" t="s">
        <v>41</v>
      </c>
      <c r="AF47" s="2" t="s">
        <v>253</v>
      </c>
      <c r="AG47" s="2" t="s">
        <v>254</v>
      </c>
    </row>
    <row r="48" spans="1:33">
      <c r="A48" s="2"/>
      <c r="B48" s="2"/>
      <c r="C48" s="2"/>
      <c r="D48" s="2" t="s">
        <v>244</v>
      </c>
      <c r="E48" s="2" t="s">
        <v>34</v>
      </c>
      <c r="F48" s="2" t="s">
        <v>255</v>
      </c>
      <c r="G48" s="2" t="s">
        <v>256</v>
      </c>
      <c r="H48" s="2" t="s">
        <v>37</v>
      </c>
      <c r="I48" s="2">
        <v>46252</v>
      </c>
      <c r="J48" s="2">
        <v>46252.831560046296</v>
      </c>
      <c r="K48" s="2">
        <v>5</v>
      </c>
      <c r="L48" s="2">
        <v>2</v>
      </c>
      <c r="M48" s="2">
        <v>5</v>
      </c>
      <c r="N48" s="2">
        <f t="shared" si="1"/>
        <v>10</v>
      </c>
      <c r="O48" s="2" t="s">
        <v>38</v>
      </c>
      <c r="P48" s="2"/>
      <c r="Q48" s="2"/>
      <c r="R48" s="2"/>
      <c r="S48" s="2" t="s">
        <v>257</v>
      </c>
      <c r="T48" s="2" t="s">
        <v>151</v>
      </c>
      <c r="U48" s="2" t="s">
        <v>257</v>
      </c>
      <c r="V48" s="2"/>
      <c r="W48" s="2"/>
      <c r="X48" s="2"/>
      <c r="Y48" s="2"/>
      <c r="Z48" s="2"/>
      <c r="AA48" s="2"/>
      <c r="AB48" s="2"/>
      <c r="AC48" s="2"/>
      <c r="AD48" s="2"/>
      <c r="AE48" s="2" t="s">
        <v>41</v>
      </c>
      <c r="AF48" s="2" t="s">
        <v>258</v>
      </c>
      <c r="AG48" s="2" t="s">
        <v>249</v>
      </c>
    </row>
    <row r="49" spans="1:33">
      <c r="A49" s="2"/>
      <c r="B49" s="2"/>
      <c r="C49" s="2"/>
      <c r="D49" s="2" t="s">
        <v>244</v>
      </c>
      <c r="E49" s="2" t="s">
        <v>34</v>
      </c>
      <c r="F49" s="2" t="s">
        <v>259</v>
      </c>
      <c r="G49" s="2" t="s">
        <v>260</v>
      </c>
      <c r="H49" s="2" t="s">
        <v>46</v>
      </c>
      <c r="I49" s="2">
        <v>46252</v>
      </c>
      <c r="J49" s="2">
        <v>46252.860132303242</v>
      </c>
      <c r="K49" s="2">
        <v>5</v>
      </c>
      <c r="L49" s="2">
        <v>4</v>
      </c>
      <c r="M49" s="2">
        <v>5</v>
      </c>
      <c r="N49" s="2">
        <f t="shared" si="1"/>
        <v>20</v>
      </c>
      <c r="O49" s="2" t="s">
        <v>38</v>
      </c>
      <c r="P49" s="2"/>
      <c r="Q49" s="2"/>
      <c r="R49" s="2"/>
      <c r="S49" s="2" t="s">
        <v>261</v>
      </c>
      <c r="T49" s="2" t="s">
        <v>122</v>
      </c>
      <c r="U49" s="2" t="s">
        <v>261</v>
      </c>
      <c r="V49" s="2"/>
      <c r="W49" s="2"/>
      <c r="X49" s="2"/>
      <c r="Y49" s="2"/>
      <c r="Z49" s="2"/>
      <c r="AA49" s="2"/>
      <c r="AB49" s="2"/>
      <c r="AC49" s="2"/>
      <c r="AD49" s="2"/>
      <c r="AE49" s="2" t="s">
        <v>41</v>
      </c>
      <c r="AF49" s="2" t="s">
        <v>262</v>
      </c>
      <c r="AG49" s="2" t="s">
        <v>263</v>
      </c>
    </row>
    <row r="50" spans="1:33">
      <c r="A50" s="2"/>
      <c r="B50" s="2"/>
      <c r="C50" s="2"/>
      <c r="D50" s="2" t="s">
        <v>244</v>
      </c>
      <c r="E50" s="2" t="s">
        <v>34</v>
      </c>
      <c r="F50" s="2" t="s">
        <v>264</v>
      </c>
      <c r="G50" s="2" t="s">
        <v>265</v>
      </c>
      <c r="H50" s="2" t="s">
        <v>46</v>
      </c>
      <c r="I50" s="2">
        <v>46252</v>
      </c>
      <c r="J50" s="2">
        <v>46252.868243333331</v>
      </c>
      <c r="K50" s="2">
        <v>5</v>
      </c>
      <c r="L50" s="2">
        <v>2</v>
      </c>
      <c r="M50" s="2">
        <v>5</v>
      </c>
      <c r="N50" s="2">
        <f t="shared" si="1"/>
        <v>10</v>
      </c>
      <c r="O50" s="2" t="s">
        <v>38</v>
      </c>
      <c r="P50" s="2"/>
      <c r="Q50" s="2"/>
      <c r="R50" s="2"/>
      <c r="S50" s="2" t="s">
        <v>266</v>
      </c>
      <c r="T50" s="2" t="s">
        <v>48</v>
      </c>
      <c r="U50" s="2" t="s">
        <v>266</v>
      </c>
      <c r="V50" s="2"/>
      <c r="W50" s="2"/>
      <c r="X50" s="2"/>
      <c r="Y50" s="2"/>
      <c r="Z50" s="2"/>
      <c r="AA50" s="2"/>
      <c r="AB50" s="2"/>
      <c r="AC50" s="2"/>
      <c r="AD50" s="2"/>
      <c r="AE50" s="2" t="s">
        <v>41</v>
      </c>
      <c r="AF50" s="2" t="s">
        <v>267</v>
      </c>
      <c r="AG50" s="2" t="s">
        <v>249</v>
      </c>
    </row>
    <row r="51" spans="1:33">
      <c r="A51" s="2"/>
      <c r="B51" s="2"/>
      <c r="C51" s="2"/>
      <c r="D51" s="2" t="s">
        <v>244</v>
      </c>
      <c r="E51" s="2" t="s">
        <v>34</v>
      </c>
      <c r="F51" s="2" t="s">
        <v>268</v>
      </c>
      <c r="G51" s="2" t="s">
        <v>269</v>
      </c>
      <c r="H51" s="2" t="s">
        <v>46</v>
      </c>
      <c r="I51" s="2">
        <v>46252</v>
      </c>
      <c r="J51" s="2">
        <v>46252.874531412039</v>
      </c>
      <c r="K51" s="2">
        <v>5</v>
      </c>
      <c r="L51" s="2">
        <v>4</v>
      </c>
      <c r="M51" s="2">
        <v>5</v>
      </c>
      <c r="N51" s="2">
        <f t="shared" si="1"/>
        <v>20</v>
      </c>
      <c r="O51" s="2" t="s">
        <v>38</v>
      </c>
      <c r="P51" s="2"/>
      <c r="Q51" s="2"/>
      <c r="R51" s="2"/>
      <c r="S51" s="2" t="s">
        <v>270</v>
      </c>
      <c r="T51" s="2" t="s">
        <v>271</v>
      </c>
      <c r="U51" s="2" t="s">
        <v>272</v>
      </c>
      <c r="V51" s="2"/>
      <c r="W51" s="2"/>
      <c r="X51" s="2"/>
      <c r="Y51" s="2"/>
      <c r="Z51" s="2"/>
      <c r="AA51" s="2"/>
      <c r="AB51" s="2"/>
      <c r="AC51" s="2"/>
      <c r="AD51" s="2"/>
      <c r="AE51" s="2" t="s">
        <v>41</v>
      </c>
      <c r="AF51" s="2" t="s">
        <v>273</v>
      </c>
      <c r="AG51" s="2" t="s">
        <v>263</v>
      </c>
    </row>
    <row r="52" spans="1:33">
      <c r="A52" s="2"/>
      <c r="B52" s="2"/>
      <c r="C52" s="2"/>
      <c r="D52" s="2" t="s">
        <v>244</v>
      </c>
      <c r="E52" s="2" t="s">
        <v>34</v>
      </c>
      <c r="F52" s="2" t="s">
        <v>274</v>
      </c>
      <c r="G52" s="2" t="s">
        <v>275</v>
      </c>
      <c r="H52" s="2" t="s">
        <v>134</v>
      </c>
      <c r="I52" s="2">
        <v>46252</v>
      </c>
      <c r="J52" s="2">
        <v>46252.882643182871</v>
      </c>
      <c r="K52" s="2">
        <v>5</v>
      </c>
      <c r="L52" s="2">
        <v>1</v>
      </c>
      <c r="M52" s="2">
        <v>5</v>
      </c>
      <c r="N52" s="2">
        <f t="shared" si="1"/>
        <v>5</v>
      </c>
      <c r="O52" s="2" t="s">
        <v>38</v>
      </c>
      <c r="P52" s="2"/>
      <c r="Q52" s="2"/>
      <c r="R52" s="2"/>
      <c r="S52" s="2" t="s">
        <v>276</v>
      </c>
      <c r="T52" s="2" t="s">
        <v>277</v>
      </c>
      <c r="U52" s="2" t="s">
        <v>278</v>
      </c>
      <c r="V52" s="2"/>
      <c r="W52" s="2"/>
      <c r="X52" s="2"/>
      <c r="Y52" s="2"/>
      <c r="Z52" s="2"/>
      <c r="AA52" s="2"/>
      <c r="AB52" s="2"/>
      <c r="AC52" s="2"/>
      <c r="AD52" s="2"/>
      <c r="AE52" s="2" t="s">
        <v>41</v>
      </c>
      <c r="AF52" s="2" t="s">
        <v>279</v>
      </c>
      <c r="AG52" s="2" t="s">
        <v>280</v>
      </c>
    </row>
    <row r="53" spans="1:33">
      <c r="A53" s="2"/>
      <c r="B53" s="2"/>
      <c r="C53" s="2"/>
      <c r="D53" s="2" t="s">
        <v>244</v>
      </c>
      <c r="E53" s="2" t="s">
        <v>34</v>
      </c>
      <c r="F53" s="2" t="s">
        <v>281</v>
      </c>
      <c r="G53" s="2" t="s">
        <v>282</v>
      </c>
      <c r="H53" s="2" t="s">
        <v>134</v>
      </c>
      <c r="I53" s="2">
        <v>46252</v>
      </c>
      <c r="J53" s="2">
        <v>46252.883621030094</v>
      </c>
      <c r="K53" s="2">
        <v>5</v>
      </c>
      <c r="L53" s="2">
        <v>2</v>
      </c>
      <c r="M53" s="2">
        <v>5</v>
      </c>
      <c r="N53" s="2">
        <f t="shared" si="1"/>
        <v>10</v>
      </c>
      <c r="O53" s="2" t="s">
        <v>38</v>
      </c>
      <c r="P53" s="2"/>
      <c r="Q53" s="2"/>
      <c r="R53" s="2"/>
      <c r="S53" s="2" t="s">
        <v>283</v>
      </c>
      <c r="T53" s="2" t="s">
        <v>284</v>
      </c>
      <c r="U53" s="2" t="s">
        <v>285</v>
      </c>
      <c r="V53" s="2"/>
      <c r="W53" s="2"/>
      <c r="X53" s="2"/>
      <c r="Y53" s="2"/>
      <c r="Z53" s="2"/>
      <c r="AA53" s="2"/>
      <c r="AB53" s="2"/>
      <c r="AC53" s="2"/>
      <c r="AD53" s="2"/>
      <c r="AE53" s="2" t="s">
        <v>41</v>
      </c>
      <c r="AF53" s="2" t="s">
        <v>286</v>
      </c>
      <c r="AG53" s="2" t="s">
        <v>249</v>
      </c>
    </row>
    <row r="54" spans="1:33">
      <c r="A54" s="2"/>
      <c r="B54" s="2"/>
      <c r="C54" s="2"/>
      <c r="D54" s="2" t="s">
        <v>244</v>
      </c>
      <c r="E54" s="2" t="s">
        <v>34</v>
      </c>
      <c r="F54" s="2" t="s">
        <v>287</v>
      </c>
      <c r="G54" s="2" t="s">
        <v>288</v>
      </c>
      <c r="H54" s="2" t="s">
        <v>134</v>
      </c>
      <c r="I54" s="2">
        <v>46252</v>
      </c>
      <c r="J54" s="2">
        <v>46252.889964270835</v>
      </c>
      <c r="K54" s="2">
        <v>5</v>
      </c>
      <c r="L54" s="2">
        <v>2</v>
      </c>
      <c r="M54" s="2">
        <v>5</v>
      </c>
      <c r="N54" s="2">
        <f t="shared" si="1"/>
        <v>10</v>
      </c>
      <c r="O54" s="2" t="s">
        <v>38</v>
      </c>
      <c r="P54" s="2"/>
      <c r="Q54" s="2"/>
      <c r="R54" s="2"/>
      <c r="S54" s="2" t="s">
        <v>289</v>
      </c>
      <c r="T54" s="2" t="s">
        <v>290</v>
      </c>
      <c r="U54" s="2" t="s">
        <v>289</v>
      </c>
      <c r="V54" s="2"/>
      <c r="W54" s="2"/>
      <c r="X54" s="2"/>
      <c r="Y54" s="2"/>
      <c r="Z54" s="2"/>
      <c r="AA54" s="2"/>
      <c r="AB54" s="2"/>
      <c r="AC54" s="2"/>
      <c r="AD54" s="2"/>
      <c r="AE54" s="2" t="s">
        <v>41</v>
      </c>
      <c r="AF54" s="2" t="s">
        <v>291</v>
      </c>
      <c r="AG54" s="2" t="s">
        <v>249</v>
      </c>
    </row>
  </sheetData>
  <conditionalFormatting sqref="R2:R54">
    <cfRule type="colorScale" priority="1">
      <colorScale>
        <cfvo type="min"/>
        <cfvo type="percentile" val="50"/>
        <cfvo type="max"/>
        <color rgb="FFFDECEC"/>
        <color rgb="FFFFF4CC"/>
        <color rgb="FFDDF4E5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>
      <selection activeCell="D26" sqref="D26"/>
    </sheetView>
  </sheetViews>
  <sheetFormatPr baseColWidth="10" defaultColWidth="8.83203125" defaultRowHeight="15"/>
  <cols>
    <col min="1" max="1" width="36.6640625" style="2" bestFit="1" customWidth="1"/>
    <col min="2" max="2" width="17" style="2" customWidth="1"/>
    <col min="3" max="4" width="12.1640625" style="2" bestFit="1" customWidth="1"/>
    <col min="5" max="5" width="18.6640625" style="2" bestFit="1" customWidth="1"/>
    <col min="6" max="6" width="17.83203125" style="2" bestFit="1" customWidth="1"/>
    <col min="7" max="7" width="19.33203125" style="2" bestFit="1" customWidth="1"/>
    <col min="8" max="8" width="85.83203125" style="2" bestFit="1" customWidth="1"/>
    <col min="9" max="16384" width="8.83203125" style="2"/>
  </cols>
  <sheetData>
    <row r="1" spans="1:8">
      <c r="A1" s="3" t="s">
        <v>292</v>
      </c>
      <c r="B1" s="3"/>
      <c r="C1" s="3"/>
      <c r="D1" s="3"/>
      <c r="E1" s="3"/>
      <c r="F1" s="3"/>
      <c r="G1" s="3"/>
      <c r="H1" s="3"/>
    </row>
    <row r="3" spans="1:8">
      <c r="A3" s="2" t="s">
        <v>293</v>
      </c>
      <c r="B3" s="2" t="s">
        <v>294</v>
      </c>
      <c r="C3" s="2" t="s">
        <v>50</v>
      </c>
      <c r="D3" s="2" t="s">
        <v>35</v>
      </c>
      <c r="E3" s="2" t="s">
        <v>44</v>
      </c>
      <c r="F3" s="2" t="s">
        <v>206</v>
      </c>
      <c r="G3" s="2" t="s">
        <v>295</v>
      </c>
    </row>
    <row r="4" spans="1:8">
      <c r="A4" s="2" t="s">
        <v>296</v>
      </c>
      <c r="B4" s="2" t="s">
        <v>297</v>
      </c>
      <c r="C4" s="2" t="s">
        <v>298</v>
      </c>
      <c r="D4" s="2" t="s">
        <v>297</v>
      </c>
      <c r="E4" s="2" t="s">
        <v>297</v>
      </c>
      <c r="F4" s="2" t="s">
        <v>298</v>
      </c>
      <c r="G4" s="2" t="s">
        <v>299</v>
      </c>
    </row>
    <row r="5" spans="1:8">
      <c r="A5" s="2" t="s">
        <v>300</v>
      </c>
      <c r="B5" s="2" t="s">
        <v>301</v>
      </c>
      <c r="C5" s="2" t="s">
        <v>301</v>
      </c>
      <c r="D5" s="2" t="s">
        <v>302</v>
      </c>
      <c r="E5" s="2" t="s">
        <v>301</v>
      </c>
      <c r="F5" s="2" t="s">
        <v>302</v>
      </c>
      <c r="G5" s="2" t="s">
        <v>299</v>
      </c>
    </row>
    <row r="6" spans="1:8">
      <c r="A6" s="2" t="s">
        <v>303</v>
      </c>
      <c r="B6" s="2" t="s">
        <v>304</v>
      </c>
      <c r="C6" s="2" t="s">
        <v>304</v>
      </c>
      <c r="D6" s="2" t="s">
        <v>304</v>
      </c>
      <c r="E6" s="2" t="s">
        <v>305</v>
      </c>
      <c r="F6" s="2" t="s">
        <v>305</v>
      </c>
      <c r="G6" s="2" t="s">
        <v>38</v>
      </c>
    </row>
    <row r="7" spans="1:8">
      <c r="A7" s="2" t="s">
        <v>306</v>
      </c>
      <c r="B7" s="2" t="s">
        <v>307</v>
      </c>
      <c r="C7" s="2" t="s">
        <v>307</v>
      </c>
      <c r="D7" s="2" t="s">
        <v>307</v>
      </c>
      <c r="E7" s="2" t="s">
        <v>307</v>
      </c>
      <c r="F7" s="2" t="s">
        <v>307</v>
      </c>
      <c r="G7" s="2" t="s">
        <v>299</v>
      </c>
    </row>
    <row r="8" spans="1:8">
      <c r="A8" s="2" t="s">
        <v>308</v>
      </c>
      <c r="B8" s="2" t="s">
        <v>309</v>
      </c>
      <c r="C8" s="2" t="s">
        <v>309</v>
      </c>
      <c r="D8" s="2" t="s">
        <v>309</v>
      </c>
      <c r="E8" s="2" t="s">
        <v>309</v>
      </c>
      <c r="F8" s="2" t="s">
        <v>309</v>
      </c>
      <c r="G8" s="2" t="s">
        <v>299</v>
      </c>
    </row>
    <row r="9" spans="1:8">
      <c r="A9" s="2" t="s">
        <v>310</v>
      </c>
      <c r="B9" s="2" t="s">
        <v>311</v>
      </c>
      <c r="C9" s="2" t="s">
        <v>311</v>
      </c>
      <c r="D9" s="2" t="s">
        <v>311</v>
      </c>
      <c r="E9" s="2" t="s">
        <v>311</v>
      </c>
      <c r="F9" s="2" t="s">
        <v>311</v>
      </c>
      <c r="G9" s="2" t="s">
        <v>299</v>
      </c>
    </row>
    <row r="12" spans="1:8">
      <c r="A12" s="2" t="s">
        <v>5</v>
      </c>
      <c r="B12" s="2" t="s">
        <v>312</v>
      </c>
      <c r="C12" s="2" t="s">
        <v>313</v>
      </c>
      <c r="D12" s="2" t="s">
        <v>314</v>
      </c>
      <c r="E12" s="2" t="s">
        <v>315</v>
      </c>
      <c r="F12" s="2" t="s">
        <v>316</v>
      </c>
      <c r="G12" s="2" t="s">
        <v>317</v>
      </c>
    </row>
    <row r="13" spans="1:8">
      <c r="A13" s="2" t="s">
        <v>222</v>
      </c>
      <c r="B13" s="2">
        <v>9.9980983110284942</v>
      </c>
      <c r="C13" s="2">
        <v>0.14475545388061356</v>
      </c>
      <c r="D13" s="2">
        <v>1.4478298710159683</v>
      </c>
    </row>
    <row r="14" spans="1:8">
      <c r="A14" s="2" t="s">
        <v>50</v>
      </c>
      <c r="B14" s="2">
        <v>10.254573160191869</v>
      </c>
      <c r="C14" s="2">
        <v>8.8645195688049683E-2</v>
      </c>
      <c r="D14" s="2">
        <v>0.86444549473954968</v>
      </c>
    </row>
    <row r="15" spans="1:8">
      <c r="A15" s="2" t="s">
        <v>35</v>
      </c>
      <c r="B15" s="2">
        <v>10.272991063272885</v>
      </c>
      <c r="C15" s="2">
        <v>0.14734467494727141</v>
      </c>
      <c r="D15" s="2">
        <v>1.4342918633896746</v>
      </c>
      <c r="E15" s="2">
        <v>10.163606524117313</v>
      </c>
      <c r="F15" s="2">
        <v>9.2078934190683324</v>
      </c>
      <c r="G15" s="2">
        <v>8.7876109314279915</v>
      </c>
    </row>
    <row r="16" spans="1:8">
      <c r="A16" s="2" t="s">
        <v>44</v>
      </c>
      <c r="B16" s="2">
        <v>10.271989525028618</v>
      </c>
      <c r="C16" s="2">
        <v>7.1781625312674679E-2</v>
      </c>
      <c r="D16" s="2">
        <v>0.6988093702565833</v>
      </c>
      <c r="E16" s="2">
        <v>10.006187271801554</v>
      </c>
      <c r="F16" s="2">
        <v>9.1452940000107787</v>
      </c>
      <c r="G16" s="2">
        <v>8.8594297695993713</v>
      </c>
    </row>
    <row r="17" spans="1:8">
      <c r="A17" s="2" t="s">
        <v>206</v>
      </c>
      <c r="E17" s="2">
        <v>10.035479320361999</v>
      </c>
      <c r="F17" s="2">
        <v>9.1653635752805158</v>
      </c>
      <c r="G17" s="2">
        <v>8.7626808268298948</v>
      </c>
      <c r="H17" s="2" t="s">
        <v>318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7"/>
  <sheetViews>
    <sheetView workbookViewId="0">
      <selection activeCell="L13" sqref="L13"/>
    </sheetView>
  </sheetViews>
  <sheetFormatPr baseColWidth="10" defaultColWidth="8.83203125" defaultRowHeight="15"/>
  <cols>
    <col min="1" max="1" width="38" style="5" customWidth="1"/>
    <col min="2" max="6" width="20" style="5" customWidth="1"/>
    <col min="7" max="7" width="28" style="5" customWidth="1"/>
    <col min="8" max="8" width="18" style="5" customWidth="1"/>
    <col min="9" max="16384" width="8.83203125" style="5"/>
  </cols>
  <sheetData>
    <row r="1" spans="1:8" ht="19">
      <c r="A1" s="4" t="s">
        <v>319</v>
      </c>
      <c r="B1" s="4"/>
      <c r="C1" s="4"/>
      <c r="D1" s="4"/>
      <c r="E1" s="4"/>
      <c r="F1" s="4"/>
      <c r="G1" s="4"/>
      <c r="H1" s="4"/>
    </row>
    <row r="2" spans="1:8" ht="16">
      <c r="A2" s="6" t="s">
        <v>293</v>
      </c>
      <c r="B2" s="6" t="s">
        <v>320</v>
      </c>
      <c r="C2" s="6" t="s">
        <v>321</v>
      </c>
      <c r="D2" s="6" t="s">
        <v>35</v>
      </c>
      <c r="E2" s="6" t="s">
        <v>44</v>
      </c>
      <c r="F2" s="6" t="s">
        <v>206</v>
      </c>
      <c r="G2" s="6" t="s">
        <v>7</v>
      </c>
      <c r="H2" s="6" t="s">
        <v>295</v>
      </c>
    </row>
    <row r="3" spans="1:8" ht="16">
      <c r="A3" s="7" t="s">
        <v>322</v>
      </c>
      <c r="B3" s="7" t="s">
        <v>323</v>
      </c>
      <c r="C3" s="7" t="s">
        <v>323</v>
      </c>
      <c r="D3" s="7" t="s">
        <v>323</v>
      </c>
      <c r="E3" s="7" t="s">
        <v>323</v>
      </c>
      <c r="F3" s="8" t="s">
        <v>323</v>
      </c>
      <c r="G3" s="7" t="s">
        <v>324</v>
      </c>
      <c r="H3" s="7" t="s">
        <v>299</v>
      </c>
    </row>
    <row r="4" spans="1:8" ht="16">
      <c r="A4" s="7" t="s">
        <v>325</v>
      </c>
      <c r="B4" s="7" t="s">
        <v>323</v>
      </c>
      <c r="C4" s="7" t="s">
        <v>323</v>
      </c>
      <c r="D4" s="7" t="s">
        <v>323</v>
      </c>
      <c r="E4" s="7" t="s">
        <v>323</v>
      </c>
      <c r="F4" s="8" t="s">
        <v>323</v>
      </c>
      <c r="G4" s="7" t="s">
        <v>324</v>
      </c>
      <c r="H4" s="7" t="s">
        <v>299</v>
      </c>
    </row>
    <row r="5" spans="1:8" ht="16">
      <c r="A5" s="7" t="s">
        <v>300</v>
      </c>
      <c r="B5" s="7" t="s">
        <v>301</v>
      </c>
      <c r="C5" s="7" t="s">
        <v>301</v>
      </c>
      <c r="D5" s="7" t="s">
        <v>302</v>
      </c>
      <c r="E5" s="7" t="s">
        <v>301</v>
      </c>
      <c r="F5" s="8" t="s">
        <v>302</v>
      </c>
      <c r="G5" s="7" t="s">
        <v>326</v>
      </c>
      <c r="H5" s="7" t="s">
        <v>299</v>
      </c>
    </row>
    <row r="6" spans="1:8" ht="16">
      <c r="A6" s="7" t="s">
        <v>327</v>
      </c>
      <c r="B6" s="7" t="s">
        <v>301</v>
      </c>
      <c r="C6" s="7" t="s">
        <v>301</v>
      </c>
      <c r="D6" s="7" t="s">
        <v>301</v>
      </c>
      <c r="E6" s="7" t="s">
        <v>301</v>
      </c>
      <c r="F6" s="8" t="s">
        <v>301</v>
      </c>
      <c r="G6" s="7" t="s">
        <v>328</v>
      </c>
      <c r="H6" s="7" t="s">
        <v>299</v>
      </c>
    </row>
    <row r="7" spans="1:8" ht="16">
      <c r="A7" s="7" t="s">
        <v>329</v>
      </c>
      <c r="B7" s="7" t="s">
        <v>301</v>
      </c>
      <c r="C7" s="7" t="s">
        <v>301</v>
      </c>
      <c r="D7" s="7" t="s">
        <v>301</v>
      </c>
      <c r="E7" s="7" t="s">
        <v>301</v>
      </c>
      <c r="F7" s="8" t="s">
        <v>301</v>
      </c>
      <c r="G7" s="7" t="s">
        <v>326</v>
      </c>
      <c r="H7" s="7" t="s">
        <v>299</v>
      </c>
    </row>
    <row r="8" spans="1:8" ht="16">
      <c r="A8" s="7" t="s">
        <v>330</v>
      </c>
      <c r="B8" s="7" t="s">
        <v>331</v>
      </c>
      <c r="C8" s="7" t="s">
        <v>331</v>
      </c>
      <c r="D8" s="7" t="s">
        <v>331</v>
      </c>
      <c r="E8" s="7" t="s">
        <v>331</v>
      </c>
      <c r="F8" s="8" t="s">
        <v>331</v>
      </c>
      <c r="G8" s="7" t="s">
        <v>332</v>
      </c>
      <c r="H8" s="7" t="s">
        <v>299</v>
      </c>
    </row>
    <row r="9" spans="1:8" ht="16">
      <c r="A9" s="7" t="s">
        <v>296</v>
      </c>
      <c r="B9" s="7" t="s">
        <v>297</v>
      </c>
      <c r="C9" s="7" t="s">
        <v>297</v>
      </c>
      <c r="D9" s="7" t="s">
        <v>297</v>
      </c>
      <c r="E9" s="7" t="s">
        <v>297</v>
      </c>
      <c r="F9" s="8" t="s">
        <v>298</v>
      </c>
      <c r="G9" s="7" t="s">
        <v>332</v>
      </c>
      <c r="H9" s="7" t="s">
        <v>299</v>
      </c>
    </row>
    <row r="10" spans="1:8" ht="16">
      <c r="A10" s="7" t="s">
        <v>333</v>
      </c>
      <c r="B10" s="7" t="s">
        <v>334</v>
      </c>
      <c r="C10" s="7" t="s">
        <v>334</v>
      </c>
      <c r="D10" s="7" t="s">
        <v>334</v>
      </c>
      <c r="E10" s="7" t="s">
        <v>334</v>
      </c>
      <c r="F10" s="8" t="s">
        <v>334</v>
      </c>
      <c r="G10" s="7" t="s">
        <v>332</v>
      </c>
      <c r="H10" s="7" t="s">
        <v>299</v>
      </c>
    </row>
    <row r="11" spans="1:8" ht="16">
      <c r="A11" s="7" t="s">
        <v>335</v>
      </c>
      <c r="B11" s="7" t="s">
        <v>336</v>
      </c>
      <c r="C11" s="7" t="s">
        <v>336</v>
      </c>
      <c r="D11" s="7" t="s">
        <v>336</v>
      </c>
      <c r="E11" s="7" t="s">
        <v>336</v>
      </c>
      <c r="F11" s="8" t="s">
        <v>336</v>
      </c>
      <c r="G11" s="7" t="s">
        <v>337</v>
      </c>
      <c r="H11" s="7" t="s">
        <v>299</v>
      </c>
    </row>
    <row r="12" spans="1:8" ht="16">
      <c r="A12" s="7" t="s">
        <v>338</v>
      </c>
      <c r="B12" s="7" t="s">
        <v>339</v>
      </c>
      <c r="C12" s="7" t="s">
        <v>339</v>
      </c>
      <c r="D12" s="7" t="s">
        <v>339</v>
      </c>
      <c r="E12" s="7" t="s">
        <v>339</v>
      </c>
      <c r="F12" s="8" t="s">
        <v>339</v>
      </c>
      <c r="G12" s="7" t="s">
        <v>65</v>
      </c>
      <c r="H12" s="7" t="s">
        <v>299</v>
      </c>
    </row>
    <row r="13" spans="1:8" ht="16">
      <c r="A13" s="7" t="s">
        <v>340</v>
      </c>
      <c r="B13" s="7" t="s">
        <v>341</v>
      </c>
      <c r="C13" s="7" t="s">
        <v>341</v>
      </c>
      <c r="D13" s="7" t="s">
        <v>341</v>
      </c>
      <c r="E13" s="7" t="s">
        <v>341</v>
      </c>
      <c r="F13" s="8" t="s">
        <v>341</v>
      </c>
      <c r="G13" s="7" t="s">
        <v>65</v>
      </c>
      <c r="H13" s="7" t="s">
        <v>299</v>
      </c>
    </row>
    <row r="14" spans="1:8" ht="16">
      <c r="A14" s="7" t="s">
        <v>342</v>
      </c>
      <c r="B14" s="7" t="s">
        <v>343</v>
      </c>
      <c r="C14" s="7" t="s">
        <v>343</v>
      </c>
      <c r="D14" s="7" t="s">
        <v>343</v>
      </c>
      <c r="E14" s="7" t="s">
        <v>343</v>
      </c>
      <c r="F14" s="8" t="s">
        <v>343</v>
      </c>
      <c r="G14" s="7" t="s">
        <v>65</v>
      </c>
      <c r="H14" s="7" t="s">
        <v>299</v>
      </c>
    </row>
    <row r="15" spans="1:8" ht="16">
      <c r="A15" s="7" t="s">
        <v>344</v>
      </c>
      <c r="B15" s="7" t="s">
        <v>345</v>
      </c>
      <c r="C15" s="7" t="s">
        <v>345</v>
      </c>
      <c r="D15" s="7" t="s">
        <v>345</v>
      </c>
      <c r="E15" s="7" t="s">
        <v>345</v>
      </c>
      <c r="F15" s="8" t="s">
        <v>345</v>
      </c>
      <c r="G15" s="7" t="s">
        <v>346</v>
      </c>
      <c r="H15" s="7" t="s">
        <v>299</v>
      </c>
    </row>
    <row r="16" spans="1:8" ht="16">
      <c r="A16" s="7" t="s">
        <v>347</v>
      </c>
      <c r="B16" s="7" t="s">
        <v>345</v>
      </c>
      <c r="C16" s="7" t="s">
        <v>345</v>
      </c>
      <c r="D16" s="7" t="s">
        <v>345</v>
      </c>
      <c r="E16" s="7" t="s">
        <v>345</v>
      </c>
      <c r="F16" s="8" t="s">
        <v>345</v>
      </c>
      <c r="G16" s="7" t="s">
        <v>346</v>
      </c>
      <c r="H16" s="7" t="s">
        <v>299</v>
      </c>
    </row>
    <row r="17" spans="1:8" ht="16">
      <c r="A17" s="7" t="s">
        <v>348</v>
      </c>
      <c r="B17" s="7" t="s">
        <v>345</v>
      </c>
      <c r="C17" s="7" t="s">
        <v>345</v>
      </c>
      <c r="D17" s="7" t="s">
        <v>345</v>
      </c>
      <c r="E17" s="7" t="s">
        <v>345</v>
      </c>
      <c r="F17" s="8" t="s">
        <v>345</v>
      </c>
      <c r="G17" s="7" t="s">
        <v>346</v>
      </c>
      <c r="H17" s="7" t="s">
        <v>299</v>
      </c>
    </row>
    <row r="18" spans="1:8" ht="16">
      <c r="A18" s="7" t="s">
        <v>349</v>
      </c>
      <c r="B18" s="7" t="s">
        <v>345</v>
      </c>
      <c r="C18" s="7" t="s">
        <v>345</v>
      </c>
      <c r="D18" s="7" t="s">
        <v>345</v>
      </c>
      <c r="E18" s="7" t="s">
        <v>345</v>
      </c>
      <c r="F18" s="8" t="s">
        <v>345</v>
      </c>
      <c r="G18" s="7" t="s">
        <v>350</v>
      </c>
      <c r="H18" s="7" t="s">
        <v>299</v>
      </c>
    </row>
    <row r="19" spans="1:8" ht="16">
      <c r="A19" s="7" t="s">
        <v>351</v>
      </c>
      <c r="B19" s="7" t="s">
        <v>345</v>
      </c>
      <c r="C19" s="7" t="s">
        <v>345</v>
      </c>
      <c r="D19" s="7" t="s">
        <v>345</v>
      </c>
      <c r="E19" s="7" t="s">
        <v>345</v>
      </c>
      <c r="F19" s="8" t="s">
        <v>345</v>
      </c>
      <c r="G19" s="7" t="s">
        <v>350</v>
      </c>
      <c r="H19" s="7" t="s">
        <v>299</v>
      </c>
    </row>
    <row r="20" spans="1:8" ht="16">
      <c r="A20" s="7" t="s">
        <v>306</v>
      </c>
      <c r="B20" s="7" t="s">
        <v>352</v>
      </c>
      <c r="C20" s="7" t="s">
        <v>353</v>
      </c>
      <c r="D20" s="7" t="s">
        <v>353</v>
      </c>
      <c r="E20" s="7" t="s">
        <v>353</v>
      </c>
      <c r="F20" s="8" t="s">
        <v>353</v>
      </c>
      <c r="G20" s="7" t="s">
        <v>354</v>
      </c>
      <c r="H20" s="7" t="s">
        <v>299</v>
      </c>
    </row>
    <row r="21" spans="1:8" ht="16">
      <c r="A21" s="7" t="s">
        <v>308</v>
      </c>
      <c r="B21" s="7" t="s">
        <v>309</v>
      </c>
      <c r="C21" s="7" t="s">
        <v>355</v>
      </c>
      <c r="D21" s="7" t="s">
        <v>355</v>
      </c>
      <c r="E21" s="7" t="s">
        <v>355</v>
      </c>
      <c r="F21" s="8" t="s">
        <v>355</v>
      </c>
      <c r="G21" s="7" t="s">
        <v>356</v>
      </c>
      <c r="H21" s="7" t="s">
        <v>299</v>
      </c>
    </row>
    <row r="22" spans="1:8" ht="16">
      <c r="A22" s="7" t="s">
        <v>357</v>
      </c>
      <c r="B22" s="7" t="s">
        <v>358</v>
      </c>
      <c r="C22" s="7" t="s">
        <v>358</v>
      </c>
      <c r="D22" s="7" t="s">
        <v>358</v>
      </c>
      <c r="E22" s="7" t="s">
        <v>358</v>
      </c>
      <c r="F22" s="8" t="s">
        <v>358</v>
      </c>
      <c r="G22" s="7" t="s">
        <v>359</v>
      </c>
      <c r="H22" s="7" t="s">
        <v>299</v>
      </c>
    </row>
    <row r="23" spans="1:8" ht="16">
      <c r="A23" s="7" t="s">
        <v>360</v>
      </c>
      <c r="B23" s="7" t="s">
        <v>339</v>
      </c>
      <c r="C23" s="7" t="s">
        <v>339</v>
      </c>
      <c r="D23" s="7" t="s">
        <v>339</v>
      </c>
      <c r="E23" s="7" t="s">
        <v>339</v>
      </c>
      <c r="F23" s="8" t="s">
        <v>339</v>
      </c>
      <c r="G23" s="7" t="s">
        <v>94</v>
      </c>
      <c r="H23" s="7" t="s">
        <v>299</v>
      </c>
    </row>
    <row r="24" spans="1:8" ht="16">
      <c r="A24" s="7" t="s">
        <v>361</v>
      </c>
      <c r="B24" s="7" t="s">
        <v>339</v>
      </c>
      <c r="C24" s="7" t="s">
        <v>339</v>
      </c>
      <c r="D24" s="7" t="s">
        <v>339</v>
      </c>
      <c r="E24" s="7" t="s">
        <v>339</v>
      </c>
      <c r="F24" s="8" t="s">
        <v>339</v>
      </c>
      <c r="G24" s="7" t="s">
        <v>94</v>
      </c>
      <c r="H24" s="7" t="s">
        <v>299</v>
      </c>
    </row>
    <row r="25" spans="1:8" ht="16">
      <c r="A25" s="7" t="s">
        <v>362</v>
      </c>
      <c r="B25" s="7" t="s">
        <v>358</v>
      </c>
      <c r="C25" s="7" t="s">
        <v>358</v>
      </c>
      <c r="D25" s="7" t="s">
        <v>358</v>
      </c>
      <c r="E25" s="7" t="s">
        <v>358</v>
      </c>
      <c r="F25" s="8" t="s">
        <v>358</v>
      </c>
      <c r="G25" s="7" t="s">
        <v>94</v>
      </c>
      <c r="H25" s="7" t="s">
        <v>299</v>
      </c>
    </row>
    <row r="26" spans="1:8" ht="16">
      <c r="A26" s="7" t="s">
        <v>363</v>
      </c>
      <c r="B26" s="7" t="s">
        <v>334</v>
      </c>
      <c r="C26" s="7" t="s">
        <v>334</v>
      </c>
      <c r="D26" s="7" t="s">
        <v>334</v>
      </c>
      <c r="E26" s="7" t="s">
        <v>334</v>
      </c>
      <c r="F26" s="8" t="s">
        <v>334</v>
      </c>
      <c r="G26" s="7" t="s">
        <v>94</v>
      </c>
      <c r="H26" s="7" t="s">
        <v>299</v>
      </c>
    </row>
    <row r="27" spans="1:8" ht="16">
      <c r="A27" s="7" t="s">
        <v>364</v>
      </c>
      <c r="B27" s="7" t="s">
        <v>339</v>
      </c>
      <c r="C27" s="7" t="s">
        <v>339</v>
      </c>
      <c r="D27" s="7" t="s">
        <v>339</v>
      </c>
      <c r="E27" s="7" t="s">
        <v>339</v>
      </c>
      <c r="F27" s="8" t="s">
        <v>339</v>
      </c>
      <c r="G27" s="7" t="s">
        <v>94</v>
      </c>
      <c r="H27" s="7" t="s">
        <v>299</v>
      </c>
    </row>
    <row r="28" spans="1:8" ht="16">
      <c r="A28" s="7" t="s">
        <v>365</v>
      </c>
      <c r="B28" s="7" t="s">
        <v>339</v>
      </c>
      <c r="C28" s="7" t="s">
        <v>339</v>
      </c>
      <c r="D28" s="7" t="s">
        <v>339</v>
      </c>
      <c r="E28" s="7" t="s">
        <v>339</v>
      </c>
      <c r="F28" s="8" t="s">
        <v>339</v>
      </c>
      <c r="G28" s="7" t="s">
        <v>94</v>
      </c>
      <c r="H28" s="7" t="s">
        <v>299</v>
      </c>
    </row>
    <row r="29" spans="1:8" ht="16">
      <c r="A29" s="7" t="s">
        <v>366</v>
      </c>
      <c r="B29" s="7" t="s">
        <v>358</v>
      </c>
      <c r="C29" s="7" t="s">
        <v>358</v>
      </c>
      <c r="D29" s="7" t="s">
        <v>358</v>
      </c>
      <c r="E29" s="7" t="s">
        <v>358</v>
      </c>
      <c r="F29" s="8" t="s">
        <v>358</v>
      </c>
      <c r="G29" s="7" t="s">
        <v>94</v>
      </c>
      <c r="H29" s="7" t="s">
        <v>299</v>
      </c>
    </row>
    <row r="30" spans="1:8" ht="16">
      <c r="A30" s="7" t="s">
        <v>367</v>
      </c>
      <c r="B30" s="7" t="s">
        <v>334</v>
      </c>
      <c r="C30" s="7" t="s">
        <v>334</v>
      </c>
      <c r="D30" s="7" t="s">
        <v>334</v>
      </c>
      <c r="E30" s="7" t="s">
        <v>334</v>
      </c>
      <c r="F30" s="8" t="s">
        <v>334</v>
      </c>
      <c r="G30" s="7" t="s">
        <v>94</v>
      </c>
      <c r="H30" s="7" t="s">
        <v>299</v>
      </c>
    </row>
    <row r="31" spans="1:8" ht="16">
      <c r="A31" s="7" t="s">
        <v>368</v>
      </c>
      <c r="B31" s="7" t="s">
        <v>369</v>
      </c>
      <c r="C31" s="7" t="s">
        <v>369</v>
      </c>
      <c r="D31" s="7" t="s">
        <v>369</v>
      </c>
      <c r="E31" s="7" t="s">
        <v>369</v>
      </c>
      <c r="F31" s="8" t="s">
        <v>369</v>
      </c>
      <c r="G31" s="7" t="s">
        <v>337</v>
      </c>
      <c r="H31" s="7" t="s">
        <v>299</v>
      </c>
    </row>
    <row r="32" spans="1:8" ht="16">
      <c r="A32" s="7" t="s">
        <v>370</v>
      </c>
      <c r="B32" s="7" t="s">
        <v>297</v>
      </c>
      <c r="C32" s="7" t="s">
        <v>297</v>
      </c>
      <c r="D32" s="7" t="s">
        <v>297</v>
      </c>
      <c r="E32" s="7" t="s">
        <v>297</v>
      </c>
      <c r="F32" s="8" t="s">
        <v>297</v>
      </c>
      <c r="G32" s="7" t="s">
        <v>371</v>
      </c>
      <c r="H32" s="7" t="s">
        <v>38</v>
      </c>
    </row>
    <row r="33" spans="1:8" ht="16">
      <c r="A33" s="7" t="s">
        <v>372</v>
      </c>
      <c r="B33" s="7" t="s">
        <v>373</v>
      </c>
      <c r="C33" s="7" t="s">
        <v>373</v>
      </c>
      <c r="D33" s="7" t="s">
        <v>373</v>
      </c>
      <c r="E33" s="7" t="s">
        <v>373</v>
      </c>
      <c r="F33" s="8" t="s">
        <v>373</v>
      </c>
      <c r="G33" s="7" t="s">
        <v>371</v>
      </c>
      <c r="H33" s="7" t="s">
        <v>38</v>
      </c>
    </row>
    <row r="34" spans="1:8" ht="16">
      <c r="A34" s="7" t="s">
        <v>374</v>
      </c>
      <c r="B34" s="7" t="s">
        <v>331</v>
      </c>
      <c r="C34" s="7" t="s">
        <v>331</v>
      </c>
      <c r="D34" s="7" t="s">
        <v>331</v>
      </c>
      <c r="E34" s="7" t="s">
        <v>331</v>
      </c>
      <c r="F34" s="8" t="s">
        <v>331</v>
      </c>
      <c r="G34" s="7" t="s">
        <v>375</v>
      </c>
      <c r="H34" s="7" t="s">
        <v>38</v>
      </c>
    </row>
    <row r="35" spans="1:8" ht="16">
      <c r="A35" s="7" t="s">
        <v>376</v>
      </c>
      <c r="B35" s="7" t="s">
        <v>345</v>
      </c>
      <c r="C35" s="7" t="s">
        <v>345</v>
      </c>
      <c r="D35" s="7" t="s">
        <v>345</v>
      </c>
      <c r="E35" s="7" t="s">
        <v>345</v>
      </c>
      <c r="F35" s="8" t="s">
        <v>345</v>
      </c>
      <c r="G35" s="7" t="s">
        <v>377</v>
      </c>
      <c r="H35" s="7" t="s">
        <v>38</v>
      </c>
    </row>
    <row r="36" spans="1:8" ht="16">
      <c r="A36" s="7" t="s">
        <v>378</v>
      </c>
      <c r="B36" s="7" t="s">
        <v>345</v>
      </c>
      <c r="C36" s="7" t="s">
        <v>345</v>
      </c>
      <c r="D36" s="7" t="s">
        <v>345</v>
      </c>
      <c r="E36" s="7" t="s">
        <v>345</v>
      </c>
      <c r="F36" s="8" t="s">
        <v>345</v>
      </c>
      <c r="G36" s="7" t="s">
        <v>379</v>
      </c>
      <c r="H36" s="7" t="s">
        <v>38</v>
      </c>
    </row>
    <row r="37" spans="1:8" ht="16">
      <c r="A37" s="7" t="s">
        <v>380</v>
      </c>
      <c r="B37" s="7" t="s">
        <v>373</v>
      </c>
      <c r="C37" s="7" t="s">
        <v>373</v>
      </c>
      <c r="D37" s="7" t="s">
        <v>373</v>
      </c>
      <c r="E37" s="7" t="s">
        <v>373</v>
      </c>
      <c r="F37" s="8" t="s">
        <v>373</v>
      </c>
      <c r="G37" s="7" t="s">
        <v>371</v>
      </c>
      <c r="H37" s="7" t="s">
        <v>38</v>
      </c>
    </row>
    <row r="38" spans="1:8" ht="16">
      <c r="A38" s="7" t="s">
        <v>381</v>
      </c>
      <c r="B38" s="7" t="s">
        <v>297</v>
      </c>
      <c r="C38" s="7" t="s">
        <v>297</v>
      </c>
      <c r="D38" s="7" t="s">
        <v>297</v>
      </c>
      <c r="E38" s="7" t="s">
        <v>297</v>
      </c>
      <c r="F38" s="8" t="s">
        <v>297</v>
      </c>
      <c r="G38" s="7" t="s">
        <v>371</v>
      </c>
      <c r="H38" s="7" t="s">
        <v>38</v>
      </c>
    </row>
    <row r="39" spans="1:8" ht="32">
      <c r="A39" s="7" t="s">
        <v>382</v>
      </c>
      <c r="B39" s="7" t="s">
        <v>334</v>
      </c>
      <c r="C39" s="7" t="s">
        <v>334</v>
      </c>
      <c r="D39" s="7" t="s">
        <v>334</v>
      </c>
      <c r="E39" s="7" t="s">
        <v>334</v>
      </c>
      <c r="F39" s="8" t="s">
        <v>334</v>
      </c>
      <c r="G39" s="7" t="s">
        <v>383</v>
      </c>
      <c r="H39" s="7" t="s">
        <v>38</v>
      </c>
    </row>
    <row r="40" spans="1:8" ht="16">
      <c r="A40" s="7" t="s">
        <v>384</v>
      </c>
      <c r="B40" s="7" t="s">
        <v>345</v>
      </c>
      <c r="C40" s="7" t="s">
        <v>345</v>
      </c>
      <c r="D40" s="7" t="s">
        <v>345</v>
      </c>
      <c r="E40" s="7" t="s">
        <v>345</v>
      </c>
      <c r="F40" s="8" t="s">
        <v>345</v>
      </c>
      <c r="G40" s="7" t="s">
        <v>379</v>
      </c>
      <c r="H40" s="7" t="s">
        <v>38</v>
      </c>
    </row>
    <row r="41" spans="1:8" ht="16">
      <c r="A41" s="7" t="s">
        <v>385</v>
      </c>
      <c r="B41" s="7" t="s">
        <v>386</v>
      </c>
      <c r="C41" s="7" t="s">
        <v>386</v>
      </c>
      <c r="D41" s="7" t="s">
        <v>386</v>
      </c>
      <c r="E41" s="7" t="s">
        <v>386</v>
      </c>
      <c r="F41" s="8" t="s">
        <v>386</v>
      </c>
      <c r="G41" s="7" t="s">
        <v>371</v>
      </c>
      <c r="H41" s="7" t="s">
        <v>38</v>
      </c>
    </row>
    <row r="42" spans="1:8" ht="32">
      <c r="A42" s="7" t="s">
        <v>387</v>
      </c>
      <c r="B42" s="7" t="s">
        <v>297</v>
      </c>
      <c r="C42" s="7" t="s">
        <v>297</v>
      </c>
      <c r="D42" s="7" t="s">
        <v>297</v>
      </c>
      <c r="E42" s="7" t="s">
        <v>297</v>
      </c>
      <c r="F42" s="8" t="s">
        <v>297</v>
      </c>
      <c r="G42" s="7" t="s">
        <v>375</v>
      </c>
      <c r="H42" s="7" t="s">
        <v>38</v>
      </c>
    </row>
    <row r="43" spans="1:8" ht="16">
      <c r="A43" s="7" t="s">
        <v>388</v>
      </c>
      <c r="B43" s="7" t="s">
        <v>345</v>
      </c>
      <c r="C43" s="7" t="s">
        <v>345</v>
      </c>
      <c r="D43" s="7" t="s">
        <v>345</v>
      </c>
      <c r="E43" s="7" t="s">
        <v>345</v>
      </c>
      <c r="F43" s="8" t="s">
        <v>345</v>
      </c>
      <c r="G43" s="7" t="s">
        <v>377</v>
      </c>
      <c r="H43" s="7" t="s">
        <v>38</v>
      </c>
    </row>
    <row r="44" spans="1:8" ht="16">
      <c r="A44" s="7" t="s">
        <v>389</v>
      </c>
      <c r="B44" s="7" t="s">
        <v>345</v>
      </c>
      <c r="C44" s="7" t="s">
        <v>345</v>
      </c>
      <c r="D44" s="7" t="s">
        <v>345</v>
      </c>
      <c r="E44" s="7" t="s">
        <v>345</v>
      </c>
      <c r="F44" s="8" t="s">
        <v>345</v>
      </c>
      <c r="G44" s="7" t="s">
        <v>379</v>
      </c>
      <c r="H44" s="7" t="s">
        <v>38</v>
      </c>
    </row>
    <row r="45" spans="1:8" ht="16">
      <c r="A45" s="7" t="s">
        <v>390</v>
      </c>
      <c r="B45" s="7" t="s">
        <v>369</v>
      </c>
      <c r="C45" s="7" t="s">
        <v>369</v>
      </c>
      <c r="D45" s="7" t="s">
        <v>369</v>
      </c>
      <c r="E45" s="7" t="s">
        <v>369</v>
      </c>
      <c r="F45" s="8" t="s">
        <v>369</v>
      </c>
      <c r="G45" s="7" t="s">
        <v>371</v>
      </c>
      <c r="H45" s="7" t="s">
        <v>38</v>
      </c>
    </row>
    <row r="46" spans="1:8" ht="16">
      <c r="A46" s="7" t="s">
        <v>391</v>
      </c>
      <c r="B46" s="7" t="s">
        <v>369</v>
      </c>
      <c r="C46" s="7" t="s">
        <v>369</v>
      </c>
      <c r="D46" s="7" t="s">
        <v>369</v>
      </c>
      <c r="E46" s="7" t="s">
        <v>369</v>
      </c>
      <c r="F46" s="8" t="s">
        <v>369</v>
      </c>
      <c r="G46" s="7" t="s">
        <v>379</v>
      </c>
      <c r="H46" s="7" t="s">
        <v>38</v>
      </c>
    </row>
    <row r="47" spans="1:8" ht="16">
      <c r="A47" s="7" t="s">
        <v>303</v>
      </c>
      <c r="B47" s="7" t="s">
        <v>304</v>
      </c>
      <c r="C47" s="7" t="s">
        <v>304</v>
      </c>
      <c r="D47" s="7" t="s">
        <v>304</v>
      </c>
      <c r="E47" s="7" t="s">
        <v>305</v>
      </c>
      <c r="F47" s="8" t="s">
        <v>305</v>
      </c>
      <c r="G47" s="7" t="s">
        <v>392</v>
      </c>
      <c r="H47" s="7" t="s">
        <v>38</v>
      </c>
    </row>
    <row r="48" spans="1:8" ht="16">
      <c r="A48" s="7" t="s">
        <v>393</v>
      </c>
      <c r="B48" s="7" t="s">
        <v>345</v>
      </c>
      <c r="C48" s="7" t="s">
        <v>345</v>
      </c>
      <c r="D48" s="7" t="s">
        <v>345</v>
      </c>
      <c r="E48" s="7" t="s">
        <v>345</v>
      </c>
      <c r="F48" s="8" t="s">
        <v>345</v>
      </c>
      <c r="G48" s="7" t="s">
        <v>394</v>
      </c>
      <c r="H48" s="7" t="s">
        <v>299</v>
      </c>
    </row>
    <row r="49" spans="1:8" ht="16">
      <c r="A49" s="7" t="s">
        <v>310</v>
      </c>
      <c r="B49" s="7" t="s">
        <v>395</v>
      </c>
      <c r="C49" s="7" t="s">
        <v>311</v>
      </c>
      <c r="D49" s="7" t="s">
        <v>311</v>
      </c>
      <c r="E49" s="7" t="s">
        <v>311</v>
      </c>
      <c r="F49" s="8" t="s">
        <v>311</v>
      </c>
      <c r="G49" s="7" t="s">
        <v>396</v>
      </c>
      <c r="H49" s="7" t="s">
        <v>299</v>
      </c>
    </row>
    <row r="50" spans="1:8" ht="16">
      <c r="A50" s="7" t="s">
        <v>397</v>
      </c>
      <c r="B50" s="7" t="s">
        <v>345</v>
      </c>
      <c r="C50" s="7" t="s">
        <v>345</v>
      </c>
      <c r="D50" s="7" t="s">
        <v>345</v>
      </c>
      <c r="E50" s="7" t="s">
        <v>345</v>
      </c>
      <c r="F50" s="8" t="s">
        <v>345</v>
      </c>
      <c r="G50" s="7" t="s">
        <v>398</v>
      </c>
      <c r="H50" s="7" t="s">
        <v>299</v>
      </c>
    </row>
    <row r="51" spans="1:8" ht="16">
      <c r="A51" s="7" t="s">
        <v>399</v>
      </c>
      <c r="B51" s="7" t="s">
        <v>345</v>
      </c>
      <c r="C51" s="7" t="s">
        <v>345</v>
      </c>
      <c r="D51" s="7" t="s">
        <v>345</v>
      </c>
      <c r="E51" s="7" t="s">
        <v>345</v>
      </c>
      <c r="F51" s="8" t="s">
        <v>345</v>
      </c>
      <c r="G51" s="7" t="s">
        <v>400</v>
      </c>
      <c r="H51" s="7" t="s">
        <v>299</v>
      </c>
    </row>
    <row r="52" spans="1:8" ht="16">
      <c r="A52" s="7" t="s">
        <v>401</v>
      </c>
      <c r="B52" s="7" t="s">
        <v>402</v>
      </c>
      <c r="C52" s="7" t="s">
        <v>402</v>
      </c>
      <c r="D52" s="7" t="s">
        <v>402</v>
      </c>
      <c r="E52" s="7" t="s">
        <v>402</v>
      </c>
      <c r="F52" s="8" t="s">
        <v>402</v>
      </c>
      <c r="G52" s="7" t="s">
        <v>403</v>
      </c>
      <c r="H52" s="7" t="s">
        <v>299</v>
      </c>
    </row>
    <row r="53" spans="1:8" ht="16">
      <c r="A53" s="7" t="s">
        <v>404</v>
      </c>
      <c r="B53" s="7" t="s">
        <v>304</v>
      </c>
      <c r="C53" s="7" t="s">
        <v>304</v>
      </c>
      <c r="D53" s="7" t="s">
        <v>304</v>
      </c>
      <c r="E53" s="7" t="s">
        <v>304</v>
      </c>
      <c r="F53" s="8" t="s">
        <v>304</v>
      </c>
      <c r="G53" s="7" t="s">
        <v>403</v>
      </c>
      <c r="H53" s="7" t="s">
        <v>299</v>
      </c>
    </row>
    <row r="54" spans="1:8" ht="16">
      <c r="A54" s="7" t="s">
        <v>405</v>
      </c>
      <c r="B54" s="7" t="s">
        <v>336</v>
      </c>
      <c r="C54" s="7" t="s">
        <v>336</v>
      </c>
      <c r="D54" s="7" t="s">
        <v>336</v>
      </c>
      <c r="E54" s="7" t="s">
        <v>336</v>
      </c>
      <c r="F54" s="8" t="s">
        <v>336</v>
      </c>
      <c r="G54" s="7" t="s">
        <v>403</v>
      </c>
      <c r="H54" s="7" t="s">
        <v>299</v>
      </c>
    </row>
    <row r="55" spans="1:8" ht="16">
      <c r="A55" s="7" t="s">
        <v>406</v>
      </c>
      <c r="B55" s="7" t="s">
        <v>345</v>
      </c>
      <c r="C55" s="7" t="s">
        <v>345</v>
      </c>
      <c r="D55" s="7" t="s">
        <v>345</v>
      </c>
      <c r="E55" s="7" t="s">
        <v>345</v>
      </c>
      <c r="F55" s="8" t="s">
        <v>345</v>
      </c>
      <c r="G55" s="7" t="s">
        <v>407</v>
      </c>
      <c r="H55" s="7" t="s">
        <v>299</v>
      </c>
    </row>
    <row r="56" spans="1:8" ht="16">
      <c r="A56" s="7" t="s">
        <v>408</v>
      </c>
      <c r="B56" s="7" t="s">
        <v>402</v>
      </c>
      <c r="C56" s="7" t="s">
        <v>402</v>
      </c>
      <c r="D56" s="7" t="s">
        <v>402</v>
      </c>
      <c r="E56" s="7" t="s">
        <v>402</v>
      </c>
      <c r="F56" s="8" t="s">
        <v>402</v>
      </c>
      <c r="G56" s="7" t="s">
        <v>407</v>
      </c>
      <c r="H56" s="7" t="s">
        <v>299</v>
      </c>
    </row>
    <row r="57" spans="1:8" ht="16">
      <c r="A57" s="7" t="s">
        <v>409</v>
      </c>
      <c r="B57" s="7" t="s">
        <v>402</v>
      </c>
      <c r="C57" s="7" t="s">
        <v>402</v>
      </c>
      <c r="D57" s="7" t="s">
        <v>402</v>
      </c>
      <c r="E57" s="7" t="s">
        <v>402</v>
      </c>
      <c r="F57" s="8" t="s">
        <v>402</v>
      </c>
      <c r="G57" s="7" t="s">
        <v>407</v>
      </c>
      <c r="H57" s="7" t="s">
        <v>299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Policy Path</vt:lpstr>
      <vt:lpstr>Full Power 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Mohsen Memarian</cp:lastModifiedBy>
  <dcterms:created xsi:type="dcterms:W3CDTF">2026-08-20T13:33:49Z</dcterms:created>
  <dcterms:modified xsi:type="dcterms:W3CDTF">2026-08-20T13:45:01Z</dcterms:modified>
</cp:coreProperties>
</file>
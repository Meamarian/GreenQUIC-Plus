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to Highest PLUS G" sheetId="1" state="visible" r:id="rId3"/>
    <sheet name="Tests detai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<sst xmlns="http://schemas.openxmlformats.org/spreadsheetml/2006/main" count="1885" uniqueCount="579">
  <si>
    <t xml:space="preserve">Step</t>
  </si>
  <si>
    <t xml:space="preserve">Stage</t>
  </si>
  <si>
    <t xml:space="preserve">Category</t>
  </si>
  <si>
    <t xml:space="preserve">Change</t>
  </si>
  <si>
    <t xml:space="preserve">From</t>
  </si>
  <si>
    <t xml:space="preserve">To</t>
  </si>
  <si>
    <t xml:space="preserve">What </t>
  </si>
  <si>
    <t xml:space="preserve">Why </t>
  </si>
  <si>
    <t xml:space="preserve">File modified</t>
  </si>
  <si>
    <t xml:space="preserve">Transformer / build path</t>
  </si>
  <si>
    <t xml:space="preserve">Source</t>
  </si>
  <si>
    <t xml:space="preserve">Performance1</t>
  </si>
  <si>
    <t xml:space="preserve">Memory / mempool</t>
  </si>
  <si>
    <t xml:space="preserve">DPDK mbuf per-core cache</t>
  </si>
  <si>
    <t xml:space="preserve">DEFAULT_MBUF_CACHE_SIZE = 256</t>
  </si>
  <si>
    <t xml:space="preserve">DEFAULT_MBUF_CACHE_SIZE = 128</t>
  </si>
  <si>
    <t xml:space="preserve">rewrite the DPDK default macro used when creating the RX/TX mbuf pools.</t>
  </si>
  <si>
    <t xml:space="preserve">Reduce the per-core cache from the original value</t>
  </si>
  <si>
    <t xml:space="preserve">/root/mohsen/msquic-p5-source/src/platform/datapath_raw_dpdk_linux.c</t>
  </si>
  <si>
    <t xml:space="preserve">apply_p5_super_performance.py</t>
  </si>
  <si>
    <t xml:space="preserve">https://github.com/Meamarian/GreenQUIC/blob/performance2/p5-max-goodput/greenquic_test_suite_v22/test_cases/pretests/P5_repeated_8GiB_downloads/apply_p5_super_performance.py</t>
  </si>
  <si>
    <t xml:space="preserve">TX batching</t>
  </si>
  <si>
    <t xml:space="preserve">TX burst size</t>
  </si>
  <si>
    <t xml:space="preserve">DEFAULT_TX_BURST_SIZE = 32</t>
  </si>
  <si>
    <t xml:space="preserve">DEFAULT_TX_BURST_SIZE = 16</t>
  </si>
  <si>
    <t xml:space="preserve">The maximum number of mbufs dequeued/sent in one TX burst is reduced from 32 to 16. RX burst remains 32.</t>
  </si>
  <si>
    <t xml:space="preserve">Tune the TX consumer granularity for the measured P5 workload without changing QUIC packetization.</t>
  </si>
  <si>
    <t xml:space="preserve">TX scheduling</t>
  </si>
  <si>
    <t xml:space="preserve">Bounded TX ring drain per worker-loop visit</t>
  </si>
  <si>
    <t xml:space="preserve">One TX burst per visit</t>
  </si>
  <si>
    <t xml:space="preserve">Up to 2 TX bursts per visit; threshold = 0</t>
  </si>
  <si>
    <t xml:space="preserve">Adds GreenQuicSuperDrainBudget=2. After a fully successful TX burst, if backlog remains, the TX owner immediately drains one additional burst before leaving the TX section.</t>
  </si>
  <si>
    <t xml:space="preserve">Reduce software TX-ring backlog and avoid returning to unrelated worker-loop work while packets are already queued.</t>
  </si>
  <si>
    <t xml:space="preserve">TX metadata</t>
  </si>
  <si>
    <t xml:space="preserve">TX packet metadata backing</t>
  </si>
  <si>
    <t xml:space="preserve">Separate DPDK_TX_PACKET allocation from AdditionalInfoPool + separate mbuf allocation</t>
  </si>
  <si>
    <t xml:space="preserve">DPDK_TX_PACKET stored in mbuf private area</t>
  </si>
  <si>
    <t xml:space="preserve">TX mbuf pool reserves private bytes for DPDK_TX_PACKET. CxPlatDpRawTxAlloc allocates the mbuf first and obtains Packet via rte_mbuf_to_priv(Mbuf); separate AdditionalInfoPool allocation/free is removed for TX metadata.</t>
  </si>
  <si>
    <t xml:space="preserve">Remove a separate hot-path pool allocation/free and improve packet/metadata locality.</t>
  </si>
  <si>
    <t xml:space="preserve">RX metadata</t>
  </si>
  <si>
    <t xml:space="preserve">RX packet metadata backing</t>
  </si>
  <si>
    <t xml:space="preserve">Separate DPDK_RX_PACKET allocation from AdditionalInfoPool</t>
  </si>
  <si>
    <t xml:space="preserve">DPDK_RX_PACKET stored in received mbuf private area</t>
  </si>
  <si>
    <t xml:space="preserve">The RX path uses NewPacket=(DPDK_RX_PACKET*)rte_mbuf_to_priv(Buffer), copies the stack-local packet metadata into the mbuf private area, and removes the separate metadata pool free.</t>
  </si>
  <si>
    <t xml:space="preserve">Remove repeated RX metadata pool allocation/free and improve locality.</t>
  </si>
  <si>
    <t xml:space="preserve">TX correctness / locking</t>
  </si>
  <si>
    <t xml:space="preserve">MBUF_FAST_FREE lock-free bookkeeping</t>
  </si>
  <si>
    <t xml:space="preserve">RTE_ETH_TX_OFFLOAD_MBUF_FAST_FREE caused OffloadStatus.Transmit.Lockfree = TRUE</t>
  </si>
  <si>
    <t xml:space="preserve">MBUF_FAST_FREE no longer treated as proof of MT-lockfree TX</t>
  </si>
  <si>
    <t xml:space="preserve">remove the assignment that equated MBUF_FAST_FREE with multi-thread lock-free TX capability.</t>
  </si>
  <si>
    <t xml:space="preserve">Correct the capability interpretation. MBUF_FAST_FREE is not the same as RTE_ETH_TX_OFFLOAD_MT_LOCKFREE.</t>
  </si>
  <si>
    <t xml:space="preserve">TX synchronization</t>
  </si>
  <si>
    <t xml:space="preserve">Per-burst software TX lock</t>
  </si>
  <si>
    <t xml:space="preserve">Conditional CxPlatLockAcquire()/CxPlatLockRelease() around rte_eth_tx_burst()</t>
  </si>
  <si>
    <t xml:space="preserve">Lock acquire/release elided under tx_lock_mode=single_owner</t>
  </si>
  <si>
    <t xml:space="preserve">The measured P5 topology has one designated DPDK TX owner as the datapath caller of rte_eth_tx_burst(); the transform removes the per-burst lock on that single-owner path.</t>
  </si>
  <si>
    <t xml:space="preserve">Avoid redundant synchronization in the TX hot path while preserving the single-owner design assumption.</t>
  </si>
  <si>
    <t xml:space="preserve">Validation / diagnostics</t>
  </si>
  <si>
    <t xml:space="preserve">DPDK capability diagnostics</t>
  </si>
  <si>
    <t xml:space="preserve">No P5 super-performance capability line</t>
  </si>
  <si>
    <t xml:space="preserve">Startup capability diagnostics enabled (cap_diag=1)</t>
  </si>
  <si>
    <t xml:space="preserve">Adds a startup-only [GreenQUIC-P5-SUPER-CAPS] print of MTU/offload/queue capabilities and selected lock mode.</t>
  </si>
  <si>
    <t xml:space="preserve">Make the tested NIC/PMD capabilities explicit and catch incorrect assumptions.</t>
  </si>
  <si>
    <t xml:space="preserve">Performance2 V1</t>
  </si>
  <si>
    <t xml:space="preserve">Stage checkpoint</t>
  </si>
  <si>
    <t xml:space="preserve">P2 V1 optional features</t>
  </si>
  <si>
    <t xml:space="preserve">Performance1 selected base</t>
  </si>
  <si>
    <t xml:space="preserve">Shared TX handoff; diag=0; whole-burst RX prefetch=0; UDP segmentation=0</t>
  </si>
  <si>
    <t xml:space="preserve">for lean_tx_rxpipe4 none of its optional behavioral features are enabled: no sharded TX rings, no whole-burst RX prefetch, no USO/UDP segmentation, and no periodic startup diagnostic.</t>
  </si>
  <si>
    <t xml:space="preserve">Keeps the P2 V2 comparison focused on the later hot-path changes.</t>
  </si>
  <si>
    <t xml:space="preserve">apply_p5_performance2.py</t>
  </si>
  <si>
    <t xml:space="preserve">https://github.com/Meamarian/GreenQUIC/blob/performance2/p5-max-goodput/greenquic_test_suite_v22/test_cases/pretests/P5_repeated_8GiB_downloads/apply_p5_performance2.py</t>
  </si>
  <si>
    <t xml:space="preserve">Performance2 V2</t>
  </si>
  <si>
    <t xml:space="preserve">TX allocation</t>
  </si>
  <si>
    <t xml:space="preserve">TX mbuf allocation refill batch</t>
  </si>
  <si>
    <t xml:space="preserve">1 mbuf: rte_pktmbuf_alloc() for each CxPlatDpRawTxAlloc()</t>
  </si>
  <si>
    <t xml:space="preserve">16-mbuf TLS refill using rte_pktmbuf_alloc_bulk(); return one mbuf immediately per call</t>
  </si>
  <si>
    <t xml:space="preserve">Adds a thread-local mbuf stash. When empty, GreenQuicP2V2TxMbufAlloc() requests 16 mbufs with rte_pktmbuf_alloc_bulk(). Subsequent send allocations consume one cached mbuf at a time; if bulk allocation fails, it falls back to the original single allocation.</t>
  </si>
  <si>
    <t xml:space="preserve">Amortize mempool allocation/refill overhead without delaying packets or changing QUIC packetization.</t>
  </si>
  <si>
    <t xml:space="preserve">apply_p5_performance2_v2.py</t>
  </si>
  <si>
    <t xml:space="preserve">https://github.com/Meamarian/GreenQUIC/blob/performance2/p5-max-goodput/greenquic_test_suite_v22/test_cases/pretests/P5_repeated_8GiB_downloads/apply_p5_performance2_v2.py</t>
  </si>
  <si>
    <t xml:space="preserve">TX accounting</t>
  </si>
  <si>
    <t xml:space="preserve">Producer-side TxEnqueueCounter write</t>
  </si>
  <si>
    <t xml:space="preserve">Dpdk-&gt;TxEnqueueCounter++ on every enqueue</t>
  </si>
  <si>
    <t xml:space="preserve">Removed</t>
  </si>
  <si>
    <t xml:space="preserve">remove only the unused producer-side TxEnqueueCounter update. Required RxCounter and TxCounter packet totals remain and the transform explicitly checks that they are still present.</t>
  </si>
  <si>
    <t xml:space="preserve">Remove one unnecessary producer-side counter write per TX enqueue.</t>
  </si>
  <si>
    <t xml:space="preserve">TX memory writes</t>
  </si>
  <si>
    <t xml:space="preserve">Private TX metadata initialization</t>
  </si>
  <si>
    <t xml:space="preserve">CxPlatZeroMemory(Packet, sizeof(*Packet))</t>
  </si>
  <si>
    <t xml:space="preserve">Zero only sizeof(CXPLAT_SEND_DATA); trailing DPDK-private fields assigned explicitly</t>
  </si>
  <si>
    <t xml:space="preserve">The common MsQuic send-data region remains deterministically zeroed, but the trailing DPDK-only fields are not redundantly cleared before being immediately assigned.</t>
  </si>
  <si>
    <t xml:space="preserve">Reduce unnecessary memory writes while keeping required common send state initialized.</t>
  </si>
  <si>
    <t xml:space="preserve">RX cache locality</t>
  </si>
  <si>
    <t xml:space="preserve">Pipelined RX prefetch distance</t>
  </si>
  <si>
    <t xml:space="preserve">0 (no P2 V2 pipelined prefetch)</t>
  </si>
  <si>
    <t xml:space="preserve">4 packets ahead</t>
  </si>
  <si>
    <t xml:space="preserve">While parsing RX packet i, the loop prefetches both the mbuf and packet-data address of packet i+4 using rte_prefetch0(). RX burst size itself stays at 32.</t>
  </si>
  <si>
    <t xml:space="preserve">Overlap memory/cache latency with useful parsing work.</t>
  </si>
  <si>
    <t xml:space="preserve">Goodput result at the end of the optimization</t>
  </si>
  <si>
    <t xml:space="preserve">Scenario</t>
  </si>
  <si>
    <t xml:space="preserve">Campaign / workload</t>
  </si>
  <si>
    <t xml:space="preserve">Runs</t>
  </si>
  <si>
    <t xml:space="preserve">Downloads per mode</t>
  </si>
  <si>
    <t xml:space="preserve">OFF aggregate</t>
  </si>
  <si>
    <t xml:space="preserve">PLUS aggregate</t>
  </si>
  <si>
    <t xml:space="preserve">PLUS Dw1</t>
  </si>
  <si>
    <t xml:space="preserve">PLUS Dw2+</t>
  </si>
  <si>
    <t xml:space="preserve">Original/native P5 reference</t>
  </si>
  <si>
    <t xml:space="preserve">P5_STATIC_SWEEP_20260815_161742 / default P5</t>
  </si>
  <si>
    <t xml:space="preserve">Highest recovered PLUS: lean_tx_rxpipe4</t>
  </si>
  <si>
    <t xml:space="preserve">P5_P2_GOODPUT_SCREEN_20260816_131412 / idle_monitor_normal</t>
  </si>
  <si>
    <t xml:space="preserve">Ranking / identity</t>
  </si>
  <si>
    <t xml:space="preserve">Test size</t>
  </si>
  <si>
    <t xml:space="preserve">Baseline</t>
  </si>
  <si>
    <t xml:space="preserve">Configuration change</t>
  </si>
  <si>
    <t xml:space="preserve">Aggregate goodput (Gbit/s)</t>
  </si>
  <si>
    <t xml:space="preserve">D1 goodput (Gbit/s)</t>
  </si>
  <si>
    <t xml:space="preserve">D2+ goodput (Gbit/s)</t>
  </si>
  <si>
    <t xml:space="preserve">Validity / provenance</t>
  </si>
  <si>
    <t xml:space="preserve">Rank PLUS</t>
  </si>
  <si>
    <t xml:space="preserve">Rank PLUS D1</t>
  </si>
  <si>
    <t xml:space="preserve">Rank PLUS D2+</t>
  </si>
  <si>
    <t xml:space="preserve">Valid for ranking</t>
  </si>
  <si>
    <t xml:space="preserve">Family</t>
  </si>
  <si>
    <t xml:space="preserve">Campaign</t>
  </si>
  <si>
    <t xml:space="preserve">Profile</t>
  </si>
  <si>
    <t xml:space="preserve">Workload</t>
  </si>
  <si>
    <t xml:space="preserve">Date</t>
  </si>
  <si>
    <t xml:space="preserve">Timestamp</t>
  </si>
  <si>
    <t xml:space="preserve">Downloads / run / mode</t>
  </si>
  <si>
    <t xml:space="preserve">Total downloads tested</t>
  </si>
  <si>
    <t xml:space="preserve">Baseline / control</t>
  </si>
  <si>
    <t xml:space="preserve">BASIC aggregate</t>
  </si>
  <si>
    <t xml:space="preserve">Quality</t>
  </si>
  <si>
    <t xml:space="preserve">Change(s)</t>
  </si>
  <si>
    <t xml:space="preserve">Modified source file</t>
  </si>
  <si>
    <t xml:space="preserve">Transformer(s)</t>
  </si>
  <si>
    <t xml:space="preserve">Baseline PLUS</t>
  </si>
  <si>
    <t xml:space="preserve">PLUS Δ</t>
  </si>
  <si>
    <t xml:space="preserve">PLUS Δ %</t>
  </si>
  <si>
    <t xml:space="preserve">OFF D1</t>
  </si>
  <si>
    <t xml:space="preserve">BASIC D1</t>
  </si>
  <si>
    <t xml:space="preserve">PLUS D1</t>
  </si>
  <si>
    <t xml:space="preserve">Baseline PLUS D1</t>
  </si>
  <si>
    <t xml:space="preserve">D1 Δ</t>
  </si>
  <si>
    <t xml:space="preserve">D1 Δ %</t>
  </si>
  <si>
    <t xml:space="preserve">OFF D2+</t>
  </si>
  <si>
    <t xml:space="preserve">BASIC D2+</t>
  </si>
  <si>
    <t xml:space="preserve">PLUS D2+</t>
  </si>
  <si>
    <t xml:space="preserve">Baseline PLUS D2+</t>
  </si>
  <si>
    <t xml:space="preserve">D2+ Δ</t>
  </si>
  <si>
    <t xml:space="preserve">D2+ Δ %</t>
  </si>
  <si>
    <t xml:space="preserve">RC</t>
  </si>
  <si>
    <t xml:space="preserve">Notes</t>
  </si>
  <si>
    <t xml:space="preserve">Evidence path</t>
  </si>
  <si>
    <t xml:space="preserve">Source URL</t>
  </si>
  <si>
    <t xml:space="preserve">Yes</t>
  </si>
  <si>
    <t xml:space="preserve">P2 V2 Screen</t>
  </si>
  <si>
    <t xml:space="preserve">P5_P2_GOODPUT_SCREEN_20260816_131412</t>
  </si>
  <si>
    <t xml:space="preserve">lean_tx_rxpipe4</t>
  </si>
  <si>
    <t xml:space="preserve">idle_monitor_normal</t>
  </si>
  <si>
    <t xml:space="preserve">2026-08-16</t>
  </si>
  <si>
    <t xml:space="preserve">baseline (same workload)</t>
  </si>
  <si>
    <t xml:space="preserve">Directional (1 repetition)</t>
  </si>
  <si>
    <t xml:space="preserve">TX mbuf allocation refill batch; Producer-side TxEnqueueCounter update; Full DPDK_TX_PACKET private-metadata zero; Pipelined RX prefetch distance</t>
  </si>
  <si>
    <t xml:space="preserve">greenquic_test_suite_v22/test_cases/pretests/P5_repeated_8GiB_downloads/apply_p5_super_performance.py + greenquic_test_suite_v22/test_cases/pretests/P5_repeated_8GiB_downloads/apply_p5_performance2.py + greenquic_test_suite_v22/test_cases/pretests/P5_repeated_8GiB_downloads/apply_p5_performance2_v2.py</t>
  </si>
  <si>
    <t xml:space="preserve">TX mbuf allocation refill batch: 1; Producer-side TxEnqueueCounter update: enabled; Full DPDK_TX_PACKET private-metadata zero: enabled; Pipelined RX prefetch distance: 0</t>
  </si>
  <si>
    <t xml:space="preserve">TX mbuf allocation refill batch: 16; Producer-side TxEnqueueCounter update: disabled; Full DPDK_TX_PACKET private-metadata zero: disabled; Pipelined RX prefetch distance: 4</t>
  </si>
  <si>
    <t xml:space="preserve">Directional screen: n=1; no stability claim.</t>
  </si>
  <si>
    <t xml:space="preserve">P5_P2_GOODPUT_SCREEN_20260816_131412/logs/lean_tx_rxpipe4__idle_monitor_normal.log</t>
  </si>
  <si>
    <t xml:space="preserve">Super Refine</t>
  </si>
  <si>
    <t xml:space="preserve">P5_SUPER_SWEEP_20260815_221709</t>
  </si>
  <si>
    <t xml:space="preserve">no_window_meta</t>
  </si>
  <si>
    <t xml:space="preserve">default P5</t>
  </si>
  <si>
    <t xml:space="preserve">2026-08-15</t>
  </si>
  <si>
    <t xml:space="preserve">high_default</t>
  </si>
  <si>
    <t xml:space="preserve">Transfer-window tracked RX/TX wrappers</t>
  </si>
  <si>
    <t xml:space="preserve">greenquic_test_suite_v22/test_cases/pretests/P5_repeated_8GiB_downloads/apply_p5_super_performance.py</t>
  </si>
  <si>
    <t xml:space="preserve">Transfer-window tracked RX/TX wrappers: enabled</t>
  </si>
  <si>
    <t xml:space="preserve">Transfer-window tracked RX/TX wrappers: disabled</t>
  </si>
  <si>
    <t xml:space="preserve">Instrumentation/hot-path measurement work was disabled; treat as an overhead experiment, not a drop-in fair final configuration.</t>
  </si>
  <si>
    <t xml:space="preserve">P5_SUPER_SWEEP_20260815_221709/logs/run_07_no_window_meta.log</t>
  </si>
  <si>
    <t xml:space="preserve">https://github.com/Meamarian/GreenQUIC/blob/performance/p5-max-goodput/greenquic_test_suite_v22/test_cases/pretests/P5_repeated_8GiB_downloads/apply_p5_super_performance.py</t>
  </si>
  <si>
    <t xml:space="preserve">Super Combo</t>
  </si>
  <si>
    <t xml:space="preserve">P5_SUPER_SWEEP_20260815_211601</t>
  </si>
  <si>
    <t xml:space="preserve">drain4_meta_both</t>
  </si>
  <si>
    <t xml:space="preserve">measured_default</t>
  </si>
  <si>
    <t xml:space="preserve">TX drain bursts per worker-loop visit; TX packet metadata backing; RX packet metadata backing</t>
  </si>
  <si>
    <t xml:space="preserve">TX drain bursts per worker-loop visit: 1; TX packet metadata backing: pool; RX packet metadata backing: pool</t>
  </si>
  <si>
    <t xml:space="preserve">TX drain bursts per worker-loop visit: 4; TX packet metadata backing: mbuf; RX packet metadata backing: mbuf</t>
  </si>
  <si>
    <t xml:space="preserve">P5_SUPER_SWEEP_20260815_211601/logs/run_17_drain4_meta_both.log</t>
  </si>
  <si>
    <t xml:space="preserve">no_trace_meta</t>
  </si>
  <si>
    <t xml:space="preserve">Trace-only rte_ring_count calls</t>
  </si>
  <si>
    <t xml:space="preserve">Trace-only rte_ring_count calls: enabled</t>
  </si>
  <si>
    <t xml:space="preserve">Trace-only rte_ring_count calls: disabled</t>
  </si>
  <si>
    <t xml:space="preserve">P5_SUPER_SWEEP_20260815_221709/logs/run_08_no_trace_meta.log</t>
  </si>
  <si>
    <t xml:space="preserve">txalloc16_no_counter</t>
  </si>
  <si>
    <t xml:space="preserve">TX mbuf allocation refill batch; Producer-side TxEnqueueCounter update</t>
  </si>
  <si>
    <t xml:space="preserve">TX mbuf allocation refill batch: 1; Producer-side TxEnqueueCounter update: enabled</t>
  </si>
  <si>
    <t xml:space="preserve">TX mbuf allocation refill batch: 16; Producer-side TxEnqueueCounter update: disabled</t>
  </si>
  <si>
    <t xml:space="preserve">P5_P2_GOODPUT_SCREEN_20260816_131412/logs/txalloc16_no_counter__idle_monitor_normal.log</t>
  </si>
  <si>
    <t xml:space="preserve">drain2_meta</t>
  </si>
  <si>
    <t xml:space="preserve">TX drain bursts per worker-loop visit</t>
  </si>
  <si>
    <t xml:space="preserve">TX drain bursts per worker-loop visit: 4</t>
  </si>
  <si>
    <t xml:space="preserve">TX drain bursts per worker-loop visit: 2</t>
  </si>
  <si>
    <t xml:space="preserve">P5_SUPER_SWEEP_20260815_221709/logs/run_02_drain2_meta.log</t>
  </si>
  <si>
    <t xml:space="preserve">—</t>
  </si>
  <si>
    <t xml:space="preserve">P5_SUPER_SWEEP_20260815_221709/logs/run_00_high_default.log</t>
  </si>
  <si>
    <t xml:space="preserve">sharded_1024_mask</t>
  </si>
  <si>
    <t xml:space="preserve">TX producer→consumer handoff; Sharded active-ring mask</t>
  </si>
  <si>
    <t xml:space="preserve">TX producer→consumer handoff: shared; Sharded active-ring mask: disabled</t>
  </si>
  <si>
    <t xml:space="preserve">TX producer→consumer handoff: sharded; Sharded active-ring mask: enabled</t>
  </si>
  <si>
    <t xml:space="preserve">P5_P2_GOODPUT_SCREEN_20260816_131412/logs/sharded_1024_mask__idle_monitor_normal.log</t>
  </si>
  <si>
    <t xml:space="preserve">super_combo</t>
  </si>
  <si>
    <t xml:space="preserve">TX ring producer synchronization; TX drain bursts per worker-loop visit; DPDK RX MTU setting; OFF-mode ring-count hot-path instrumentation; DPDK debug packet counters; Transfer-window tracked RX/TX wrappers; Trace-only rte_ring_count calls; TX packet metadata backing; RX packet metadata backing</t>
  </si>
  <si>
    <t xml:space="preserve">TX ring producer synchronization: legacy; TX drain bursts per worker-loop visit: 1; DPDK RX MTU setting: device max/default; OFF-mode ring-count hot-path instrumentation: do not skip; DPDK debug packet counters: enabled; Transfer-window tracked RX/TX wrappers: enabled; Trace-only rte_ring_count calls: enabled; TX packet metadata backing: pool; RX packet metadata backing: pool</t>
  </si>
  <si>
    <t xml:space="preserve">TX ring producer synchronization: mp; TX drain bursts per worker-loop visit: 4; DPDK RX MTU setting: 1500; OFF-mode ring-count hot-path instrumentation: skip in OFF; DPDK debug packet counters: disabled; Transfer-window tracked RX/TX wrappers: disabled; Trace-only rte_ring_count calls: disabled; TX packet metadata backing: mbuf; RX packet metadata backing: mbuf</t>
  </si>
  <si>
    <t xml:space="preserve">P5_SUPER_SWEEP_20260815_211601/logs/run_21_super_combo.log</t>
  </si>
  <si>
    <t xml:space="preserve">P2 Sweep12</t>
  </si>
  <si>
    <t xml:space="preserve">P5_PERFORMANCE2_20260816_071117_SWEEP12</t>
  </si>
  <si>
    <t xml:space="preserve">sharded_2048</t>
  </si>
  <si>
    <t xml:space="preserve">baseline</t>
  </si>
  <si>
    <t xml:space="preserve">TX producer→consumer handoff; Per-producer TX ring size</t>
  </si>
  <si>
    <t xml:space="preserve">greenquic_test_suite_v22/test_cases/pretests/P5_repeated_8GiB_downloads/apply_p5_super_performance.py + greenquic_test_suite_v22/test_cases/pretests/P5_repeated_8GiB_downloads/apply_p5_performance2.py</t>
  </si>
  <si>
    <t xml:space="preserve">TX producer→consumer handoff: shared; Per-producer TX ring size: 1024</t>
  </si>
  <si>
    <t xml:space="preserve">TX producer→consumer handoff: sharded; Per-producer TX ring size: 2048</t>
  </si>
  <si>
    <t xml:space="preserve">P5_PERFORMANCE2_20260816_071117_SWEEP12/logs/run_04_sharded_2048.log</t>
  </si>
  <si>
    <t xml:space="preserve">txalloc_8</t>
  </si>
  <si>
    <t xml:space="preserve">TX mbuf allocation refill batch: 1</t>
  </si>
  <si>
    <t xml:space="preserve">TX mbuf allocation refill batch: 8</t>
  </si>
  <si>
    <t xml:space="preserve">P5_P2_GOODPUT_SCREEN_20260816_131412/logs/txalloc_8__idle_monitor_normal.log</t>
  </si>
  <si>
    <t xml:space="preserve">drain3_meta</t>
  </si>
  <si>
    <t xml:space="preserve">TX drain bursts per worker-loop visit: 3</t>
  </si>
  <si>
    <t xml:space="preserve">P5_SUPER_SWEEP_20260815_221709/logs/run_03_drain3_meta.log</t>
  </si>
  <si>
    <t xml:space="preserve">rxpipe_2</t>
  </si>
  <si>
    <t xml:space="preserve">Pipelined RX prefetch distance: 0</t>
  </si>
  <si>
    <t xml:space="preserve">Pipelined RX prefetch distance: 2</t>
  </si>
  <si>
    <t xml:space="preserve">P5_P2_GOODPUT_SCREEN_20260816_131412/logs/rxpipe_2__idle_monitor_normal.log</t>
  </si>
  <si>
    <t xml:space="preserve">udp_seg4</t>
  </si>
  <si>
    <t xml:space="preserve">Experimental UDP segmentation request; EFFECTIVE: no active UDP segmentation</t>
  </si>
  <si>
    <t xml:space="preserve">Experimental UDP segmentation request: disabled</t>
  </si>
  <si>
    <t xml:space="preserve">Experimental UDP segmentation request: enabled</t>
  </si>
  <si>
    <t xml:space="preserve">Runtime log: UDP segmentation requested but inactive (udp_tso=0); effective gain cannot be attributed to USO.</t>
  </si>
  <si>
    <t xml:space="preserve">P5_PERFORMANCE2_20260816_071117_SWEEP12/logs/run_07_udp_seg4.log</t>
  </si>
  <si>
    <t xml:space="preserve">sharded_1024</t>
  </si>
  <si>
    <t xml:space="preserve">TX producer→consumer handoff</t>
  </si>
  <si>
    <t xml:space="preserve">TX producer→consumer handoff: shared</t>
  </si>
  <si>
    <t xml:space="preserve">TX producer→consumer handoff: sharded</t>
  </si>
  <si>
    <t xml:space="preserve">P5_P2_GOODPUT_SCREEN_20260816_131412/logs/sharded_1024__idle_monitor_normal.log</t>
  </si>
  <si>
    <t xml:space="preserve">P2 Best Repeat</t>
  </si>
  <si>
    <t xml:space="preserve">P5_PERFORMANCE2_20260816_071117_BEST_sharded_udp4</t>
  </si>
  <si>
    <t xml:space="preserve">sharded_udp4</t>
  </si>
  <si>
    <t xml:space="preserve">baseline (P2 Sweep12 reference)</t>
  </si>
  <si>
    <t xml:space="preserve">TX producer→consumer handoff; Experimental UDP segmentation request; UDP segmentation request was ineffective</t>
  </si>
  <si>
    <t xml:space="preserve">TX producer→consumer handoff: shared; Experimental UDP segmentation request: disabled</t>
  </si>
  <si>
    <t xml:space="preserve">TX producer→consumer handoff: sharded; Experimental UDP segmentation request: enabled; UDP segmentation effective state: inactive</t>
  </si>
  <si>
    <t xml:space="preserve">P5_PERFORMANCE2_20260816_071117_BEST_sharded_udp4/logs/run_10_sharded_udp4.log</t>
  </si>
  <si>
    <t xml:space="preserve">P5_PERFORMANCE2_20260816_071117_SWEEP12/logs/run_10_sharded_udp4.log</t>
  </si>
  <si>
    <t xml:space="preserve">lean_tx</t>
  </si>
  <si>
    <t xml:space="preserve">TX mbuf allocation refill batch; Producer-side TxEnqueueCounter update; Full DPDK_TX_PACKET private-metadata zero</t>
  </si>
  <si>
    <t xml:space="preserve">TX mbuf allocation refill batch: 1; Producer-side TxEnqueueCounter update: enabled; Full DPDK_TX_PACKET private-metadata zero: enabled</t>
  </si>
  <si>
    <t xml:space="preserve">TX mbuf allocation refill batch: 16; Producer-side TxEnqueueCounter update: disabled; Full DPDK_TX_PACKET private-metadata zero: disabled</t>
  </si>
  <si>
    <t xml:space="preserve">P5_P2_GOODPUT_SCREEN_20260816_131412/logs/lean_tx__idle_monitor_normal.log</t>
  </si>
  <si>
    <t xml:space="preserve">P5_PERFORMANCE2_20260816_071117_SWEEP12/logs/run_00_baseline.log</t>
  </si>
  <si>
    <t xml:space="preserve">Static Sweep</t>
  </si>
  <si>
    <t xml:space="preserve">P5_STATIC_SWEEP_20260815_161742</t>
  </si>
  <si>
    <t xml:space="preserve">cache128</t>
  </si>
  <si>
    <t xml:space="preserve">native</t>
  </si>
  <si>
    <t xml:space="preserve">MBUF cache / DEFAULT_MBUF_CACHE_SIZE</t>
  </si>
  <si>
    <t xml:space="preserve">greenquic_test_suite_v22/test_cases/pretests/P5_repeated_8GiB_downloads/apply_p5_static_performance.py</t>
  </si>
  <si>
    <t xml:space="preserve">MBUF cache / DEFAULT_MBUF_CACHE_SIZE: 256</t>
  </si>
  <si>
    <t xml:space="preserve">MBUF cache / DEFAULT_MBUF_CACHE_SIZE: 128</t>
  </si>
  <si>
    <t xml:space="preserve">P5_STATIC_SWEEP_20260815_161742/logs/run_05_cache128.log</t>
  </si>
  <si>
    <t xml:space="preserve">https://github.com/Meamarian/GreenQUIC/blob/performance/p5-max-goodput/greenquic_test_suite_v22/test_cases/pretests/P5_repeated_8GiB_downloads/apply_p5_static_performance.py</t>
  </si>
  <si>
    <t xml:space="preserve">Cache128 Isolated</t>
  </si>
  <si>
    <t xml:space="preserve">P5_CACHE128_ISOLATED_20260815_172930</t>
  </si>
  <si>
    <t xml:space="preserve">cache128_rxalloc4</t>
  </si>
  <si>
    <t xml:space="preserve">cache128_control</t>
  </si>
  <si>
    <t xml:space="preserve">Reduce AdditionalInfoPool allocation attempts</t>
  </si>
  <si>
    <t xml:space="preserve">greenquic_test_suite_v22/test_cases/pretests/P5_repeated_8GiB_downloads/apply_p5_static_performance.py + greenquic_test_suite_v22/test_cases/pretests/P5_repeated_8GiB_downloads/apply_p5_isolated_feature.py</t>
  </si>
  <si>
    <t xml:space="preserve">Up to 10 allocation attempts</t>
  </si>
  <si>
    <t xml:space="preserve">Up to 4 allocation attempts</t>
  </si>
  <si>
    <t xml:space="preserve">P5_CACHE128_ISOLATED_20260815_172930/logs/run_05_cache128_rxalloc4.log</t>
  </si>
  <si>
    <t xml:space="preserve">https://github.com/Meamarian/GreenQUIC/blob/performance/p5-max-goodput/greenquic_test_suite_v22/test_cases/pretests/P5_repeated_8GiB_downloads/apply_p5_isolated_feature.py</t>
  </si>
  <si>
    <t xml:space="preserve">sharded_512</t>
  </si>
  <si>
    <t xml:space="preserve">TX producer→consumer handoff: sharded; Per-producer TX ring size: 512</t>
  </si>
  <si>
    <t xml:space="preserve">P5_PERFORMANCE2_20260816_071117_SWEEP12/logs/run_02_sharded_512.log</t>
  </si>
  <si>
    <t xml:space="preserve">Super Screen</t>
  </si>
  <si>
    <t xml:space="preserve">P5_SUPER_SWEEP_20260815_201015</t>
  </si>
  <si>
    <t xml:space="preserve">rxmeta_mbuf</t>
  </si>
  <si>
    <t xml:space="preserve">RX packet metadata backing: pool</t>
  </si>
  <si>
    <t xml:space="preserve">RX packet metadata backing: mbuf</t>
  </si>
  <si>
    <t xml:space="preserve">P5_SUPER_SWEEP_20260815_201015/logs/run_12_rxmeta_mbuf.log</t>
  </si>
  <si>
    <t xml:space="preserve">no_tx_meta_zero</t>
  </si>
  <si>
    <t xml:space="preserve">Full DPDK_TX_PACKET private-metadata zero</t>
  </si>
  <si>
    <t xml:space="preserve">Full DPDK_TX_PACKET private-metadata zero: enabled</t>
  </si>
  <si>
    <t xml:space="preserve">Full DPDK_TX_PACKET private-metadata zero: disabled</t>
  </si>
  <si>
    <t xml:space="preserve">P5_P2_GOODPUT_SCREEN_20260816_131412/logs/no_tx_meta_zero__idle_monitor_normal.log</t>
  </si>
  <si>
    <t xml:space="preserve">txalloc_16</t>
  </si>
  <si>
    <t xml:space="preserve">TX mbuf allocation refill batch: 16</t>
  </si>
  <si>
    <t xml:space="preserve">P5_P2_GOODPUT_SCREEN_20260816_131412/logs/txalloc_16__idle_monitor_normal.log</t>
  </si>
  <si>
    <t xml:space="preserve">ring8192</t>
  </si>
  <si>
    <t xml:space="preserve">TX software ring / DEFAULT_TX_RING_SIZE</t>
  </si>
  <si>
    <t xml:space="preserve">TX software ring / DEFAULT_TX_RING_SIZE: 4096</t>
  </si>
  <si>
    <t xml:space="preserve">TX software ring / DEFAULT_TX_RING_SIZE: 8192</t>
  </si>
  <si>
    <t xml:space="preserve">P5_STATIC_SWEEP_20260815_161742/logs/run_09_ring8192.log</t>
  </si>
  <si>
    <t xml:space="preserve">udp_seg8</t>
  </si>
  <si>
    <t xml:space="preserve">Experimental UDP segmentation request; UDP segmentation max group; EFFECTIVE: no active UDP segmentation</t>
  </si>
  <si>
    <t xml:space="preserve">Experimental UDP segmentation request: disabled; UDP segmentation max group: 4</t>
  </si>
  <si>
    <t xml:space="preserve">Experimental UDP segmentation request: enabled; UDP segmentation max group: 8</t>
  </si>
  <si>
    <t xml:space="preserve">P5_PERFORMANCE2_20260816_071117_SWEEP12/logs/run_08_udp_seg8.log</t>
  </si>
  <si>
    <t xml:space="preserve">rxpipe_4</t>
  </si>
  <si>
    <t xml:space="preserve">Pipelined RX prefetch distance: 4</t>
  </si>
  <si>
    <t xml:space="preserve">P5_P2_GOODPUT_SCREEN_20260816_131412/logs/rxpipe_4__idle_monitor_normal.log</t>
  </si>
  <si>
    <t xml:space="preserve">P5_P2_GOODPUT_SCREEN_20260816_131412/logs/baseline__idle_monitor_normal.log</t>
  </si>
  <si>
    <t xml:space="preserve">rx_prefetch</t>
  </si>
  <si>
    <t xml:space="preserve">Whole-burst RX prefetch</t>
  </si>
  <si>
    <t xml:space="preserve">Whole-burst RX prefetch: disabled</t>
  </si>
  <si>
    <t xml:space="preserve">Whole-burst RX prefetch: enabled</t>
  </si>
  <si>
    <t xml:space="preserve">P5_PERFORMANCE2_20260816_071117_SWEEP12/logs/run_05_rx_prefetch.log</t>
  </si>
  <si>
    <t xml:space="preserve">pool8191</t>
  </si>
  <si>
    <t xml:space="preserve">RX mbuf pool / DEFAULT_RX_MBUF_POOL_SIZE; TX mbuf pool / DEFAULT_TX_MBUF_POOL_SIZE</t>
  </si>
  <si>
    <t xml:space="preserve">RX mbuf pool / DEFAULT_RX_MBUF_POOL_SIZE: 16383; TX mbuf pool / DEFAULT_TX_MBUF_POOL_SIZE: 16383</t>
  </si>
  <si>
    <t xml:space="preserve">RX mbuf pool / DEFAULT_RX_MBUF_POOL_SIZE: 8191; TX mbuf pool / DEFAULT_TX_MBUF_POOL_SIZE: 8191</t>
  </si>
  <si>
    <t xml:space="preserve">P5_STATIC_SWEEP_20260815_161742/logs/run_10_pool8191.log</t>
  </si>
  <si>
    <t xml:space="preserve">lock_capability</t>
  </si>
  <si>
    <t xml:space="preserve">TX software lock mode</t>
  </si>
  <si>
    <t xml:space="preserve">TX software lock mode: single_owner</t>
  </si>
  <si>
    <t xml:space="preserve">TX software lock mode: capability</t>
  </si>
  <si>
    <t xml:space="preserve">P5_SUPER_SWEEP_20260815_221709/logs/run_11_lock_capability.log</t>
  </si>
  <si>
    <t xml:space="preserve">no_tx_enqueue_counter</t>
  </si>
  <si>
    <t xml:space="preserve">Producer-side TxEnqueueCounter update</t>
  </si>
  <si>
    <t xml:space="preserve">Producer-side TxEnqueueCounter update: enabled</t>
  </si>
  <si>
    <t xml:space="preserve">Producer-side TxEnqueueCounter update: disabled</t>
  </si>
  <si>
    <t xml:space="preserve">P5_P2_GOODPUT_SCREEN_20260816_131412/logs/no_tx_enqueue_counter__idle_monitor_normal.log</t>
  </si>
  <si>
    <t xml:space="preserve">Ring Sweep</t>
  </si>
  <si>
    <t xml:space="preserve">P5_RING_SWEEP_20260815_181711</t>
  </si>
  <si>
    <t xml:space="preserve">txburst64</t>
  </si>
  <si>
    <t xml:space="preserve">control</t>
  </si>
  <si>
    <t xml:space="preserve">TX burst / DEFAULT_TX_BURST_SIZE</t>
  </si>
  <si>
    <t xml:space="preserve">greenquic_test_suite_v22/test_cases/pretests/P5_repeated_8GiB_downloads/apply_p5_static_performance.py + greenquic_test_suite_v22/test_cases/pretests/P5_repeated_8GiB_downloads/apply_p5_ring_experiment.py</t>
  </si>
  <si>
    <t xml:space="preserve">TX burst / DEFAULT_TX_BURST_SIZE: 32</t>
  </si>
  <si>
    <t xml:space="preserve">TX burst / DEFAULT_TX_BURST_SIZE: 64</t>
  </si>
  <si>
    <t xml:space="preserve">P5_RING_SWEEP_20260815_181711/logs/run_09_txburst64.log</t>
  </si>
  <si>
    <t xml:space="preserve">https://github.com/Meamarian/GreenQUIC/blob/performance/p5-max-goodput/greenquic_test_suite_v22/test_cases/pretests/P5_repeated_8GiB_downloads/apply_p5_ring_experiment.py</t>
  </si>
  <si>
    <t xml:space="preserve">lean_tx_sharded1024_mask</t>
  </si>
  <si>
    <t xml:space="preserve">TX producer→consumer handoff; TX mbuf allocation refill batch; Producer-side TxEnqueueCounter update; Full DPDK_TX_PACKET private-metadata zero; Sharded active-ring mask</t>
  </si>
  <si>
    <t xml:space="preserve">TX producer→consumer handoff: shared; TX mbuf allocation refill batch: 1; Producer-side TxEnqueueCounter update: enabled; Full DPDK_TX_PACKET private-metadata zero: enabled; Sharded active-ring mask: disabled</t>
  </si>
  <si>
    <t xml:space="preserve">TX producer→consumer handoff: sharded; TX mbuf allocation refill batch: 16; Producer-side TxEnqueueCounter update: disabled; Full DPDK_TX_PACKET private-metadata zero: disabled; Sharded active-ring mask: enabled</t>
  </si>
  <si>
    <t xml:space="preserve">P5_P2_GOODPUT_SCREEN_20260816_131412/logs/lean_tx_sharded1024_mask__idle_monitor_normal.log</t>
  </si>
  <si>
    <t xml:space="preserve">txmeta_pool</t>
  </si>
  <si>
    <t xml:space="preserve">TX packet metadata backing: mbuf</t>
  </si>
  <si>
    <t xml:space="preserve">TX packet metadata backing: pool</t>
  </si>
  <si>
    <t xml:space="preserve">P5_SUPER_SWEEP_20260815_221709/logs/run_09_txmeta_pool.log</t>
  </si>
  <si>
    <t xml:space="preserve">classic_mp_drain4_meta_both</t>
  </si>
  <si>
    <t xml:space="preserve">TX ring producer synchronization; TX drain bursts per worker-loop visit; TX packet metadata backing; RX packet metadata backing</t>
  </si>
  <si>
    <t xml:space="preserve">TX ring producer synchronization: legacy; TX drain bursts per worker-loop visit: 1; TX packet metadata backing: pool; RX packet metadata backing: pool</t>
  </si>
  <si>
    <t xml:space="preserve">TX ring producer synchronization: mp; TX drain bursts per worker-loop visit: 4; TX packet metadata backing: mbuf; RX packet metadata backing: mbuf</t>
  </si>
  <si>
    <t xml:space="preserve">P5_SUPER_SWEEP_20260815_211601/logs/run_18_classic_mp_drain4_meta_both.log</t>
  </si>
  <si>
    <t xml:space="preserve">desc2048</t>
  </si>
  <si>
    <t xml:space="preserve">RX descriptors / DEFAULT_NUM_RX_DESCRIPTORS; TX descriptors / DEFAULT_NUM_TX_DESCRIPTORS</t>
  </si>
  <si>
    <t xml:space="preserve">RX descriptors / DEFAULT_NUM_RX_DESCRIPTORS: 4096; TX descriptors / DEFAULT_NUM_TX_DESCRIPTORS: 4096</t>
  </si>
  <si>
    <t xml:space="preserve">RX descriptors / DEFAULT_NUM_RX_DESCRIPTORS: 2048; TX descriptors / DEFAULT_NUM_TX_DESCRIPTORS: 2048</t>
  </si>
  <si>
    <t xml:space="preserve">P5_STATIC_SWEEP_20260815_161742/logs/run_07_desc2048.log</t>
  </si>
  <si>
    <t xml:space="preserve">drain2</t>
  </si>
  <si>
    <t xml:space="preserve">TX drain bursts per worker-loop visit: 1</t>
  </si>
  <si>
    <t xml:space="preserve">P5_SUPER_SWEEP_20260815_201015/logs/run_02_drain2.log</t>
  </si>
  <si>
    <t xml:space="preserve">mp_classic</t>
  </si>
  <si>
    <t xml:space="preserve">TX ring producer synchronization</t>
  </si>
  <si>
    <t xml:space="preserve">TX ring producer synchronization: configured_hts_but_explicit_mp</t>
  </si>
  <si>
    <t xml:space="preserve">TX ring producer synchronization: classic_mp</t>
  </si>
  <si>
    <t xml:space="preserve">P5_RING_SWEEP_20260815_181711/logs/run_02_mp_classic.log</t>
  </si>
  <si>
    <t xml:space="preserve">clean_hotpath_meta_both</t>
  </si>
  <si>
    <t xml:space="preserve">OFF-mode ring-count hot-path instrumentation; DPDK debug packet counters; Transfer-window tracked RX/TX wrappers; Trace-only rte_ring_count calls; TX packet metadata backing; RX packet metadata backing</t>
  </si>
  <si>
    <t xml:space="preserve">OFF-mode ring-count hot-path instrumentation: do not skip; DPDK debug packet counters: enabled; Transfer-window tracked RX/TX wrappers: enabled; Trace-only rte_ring_count calls: enabled; TX packet metadata backing: pool; RX packet metadata backing: pool</t>
  </si>
  <si>
    <t xml:space="preserve">OFF-mode ring-count hot-path instrumentation: skip in OFF; DPDK debug packet counters: disabled; Transfer-window tracked RX/TX wrappers: disabled; Trace-only rte_ring_count calls: disabled; TX packet metadata backing: mbuf; RX packet metadata backing: mbuf</t>
  </si>
  <si>
    <t xml:space="preserve">P5_SUPER_SWEEP_20260815_211601/logs/run_19_clean_hotpath_meta_both.log</t>
  </si>
  <si>
    <t xml:space="preserve">cache512</t>
  </si>
  <si>
    <t xml:space="preserve">MBUF cache / DEFAULT_MBUF_CACHE_SIZE: 512</t>
  </si>
  <si>
    <t xml:space="preserve">P5_STATIC_SWEEP_20260815_161742/logs/run_06_cache512.log</t>
  </si>
  <si>
    <t xml:space="preserve">rx64</t>
  </si>
  <si>
    <t xml:space="preserve">RX burst / DEFAULT_RX_BURST_SIZE</t>
  </si>
  <si>
    <t xml:space="preserve">RX burst / DEFAULT_RX_BURST_SIZE: 32</t>
  </si>
  <si>
    <t xml:space="preserve">RX burst / DEFAULT_RX_BURST_SIZE: 64</t>
  </si>
  <si>
    <t xml:space="preserve">P5_STATIC_SWEEP_20260815_161742/logs/run_02_rx64.log</t>
  </si>
  <si>
    <t xml:space="preserve">meta_both</t>
  </si>
  <si>
    <t xml:space="preserve">TX packet metadata backing; RX packet metadata backing</t>
  </si>
  <si>
    <t xml:space="preserve">TX packet metadata backing: pool; RX packet metadata backing: pool</t>
  </si>
  <si>
    <t xml:space="preserve">TX packet metadata backing: mbuf; RX packet metadata backing: mbuf</t>
  </si>
  <si>
    <t xml:space="preserve">P5_SUPER_SWEEP_20260815_211601/logs/run_15_meta_both.log</t>
  </si>
  <si>
    <t xml:space="preserve">drain4</t>
  </si>
  <si>
    <t xml:space="preserve">P5_SUPER_SWEEP_20260815_201015/logs/run_03_drain4.log</t>
  </si>
  <si>
    <t xml:space="preserve">diag_100ms</t>
  </si>
  <si>
    <t xml:space="preserve">Startup diagnostic interval</t>
  </si>
  <si>
    <t xml:space="preserve">Startup diagnostic interval: 0</t>
  </si>
  <si>
    <t xml:space="preserve">Startup diagnostic interval: 100000</t>
  </si>
  <si>
    <t xml:space="preserve">P5_PERFORMANCE2_20260816_071117_SWEEP12/logs/run_01_diag_100ms.log</t>
  </si>
  <si>
    <t xml:space="preserve">no_debug_counters</t>
  </si>
  <si>
    <t xml:space="preserve">DPDK debug packet counters</t>
  </si>
  <si>
    <t xml:space="preserve">DPDK debug packet counters: enabled</t>
  </si>
  <si>
    <t xml:space="preserve">DPDK debug packet counters: disabled</t>
  </si>
  <si>
    <t xml:space="preserve">P5_SUPER_SWEEP_20260815_201015/logs/run_08_no_debug_counters.log</t>
  </si>
  <si>
    <t xml:space="preserve">Combo Isolated</t>
  </si>
  <si>
    <t xml:space="preserve">P5_COMBO_ISOLATED_20260815_171901</t>
  </si>
  <si>
    <t xml:space="preserve">combo_control</t>
  </si>
  <si>
    <t xml:space="preserve">P5_COMBO_ISOLATED_20260815_171901/logs/run_00_combo_control.log</t>
  </si>
  <si>
    <t xml:space="preserve">all_p2</t>
  </si>
  <si>
    <t xml:space="preserve">TX producer→consumer handoff; Whole-burst RX prefetch; Experimental UDP segmentation request; UDP segmentation portion inactive</t>
  </si>
  <si>
    <t xml:space="preserve">TX producer→consumer handoff: shared; Whole-burst RX prefetch: disabled; Experimental UDP segmentation request: disabled</t>
  </si>
  <si>
    <t xml:space="preserve">TX producer→consumer handoff: sharded; Whole-burst RX prefetch: enabled; Experimental UDP segmentation request: enabled</t>
  </si>
  <si>
    <t xml:space="preserve">P5_PERFORMANCE2_20260816_071117_SWEEP12/logs/run_11_all_p2.log</t>
  </si>
  <si>
    <t xml:space="preserve">P5_RING_SWEEP_20260815_181711/logs/run_07_ring8192.log</t>
  </si>
  <si>
    <t xml:space="preserve">P5_PERFORMANCE2_20260816_071117_SWEEP12/logs/run_03_sharded_1024.log</t>
  </si>
  <si>
    <t xml:space="preserve">ring2048</t>
  </si>
  <si>
    <t xml:space="preserve">TX software ring / DEFAULT_TX_RING_SIZE: 2048</t>
  </si>
  <si>
    <t xml:space="preserve">P5_STATIC_SWEEP_20260815_161742/logs/run_08_ring2048.log</t>
  </si>
  <si>
    <t xml:space="preserve">P5_RING_SWEEP_20260815_181711/logs/run_06_ring2048.log</t>
  </si>
  <si>
    <t xml:space="preserve">txburst16</t>
  </si>
  <si>
    <t xml:space="preserve">TX burst / DEFAULT_TX_BURST_SIZE: 16</t>
  </si>
  <si>
    <t xml:space="preserve">P5_RING_SWEEP_20260815_181711/logs/run_08_txburst16.log</t>
  </si>
  <si>
    <t xml:space="preserve">adaptive64</t>
  </si>
  <si>
    <t xml:space="preserve">TX drain bursts per worker-loop visit; TX drain backlog threshold</t>
  </si>
  <si>
    <t xml:space="preserve">TX drain bursts per worker-loop visit: 1; TX drain backlog threshold: 0</t>
  </si>
  <si>
    <t xml:space="preserve">TX drain bursts per worker-loop visit: 8; TX drain backlog threshold: 64</t>
  </si>
  <si>
    <t xml:space="preserve">P5_SUPER_SWEEP_20260815_201015/logs/run_05_adaptive64.log</t>
  </si>
  <si>
    <t xml:space="preserve">txmeta_mbuf</t>
  </si>
  <si>
    <t xml:space="preserve">P5_SUPER_SWEEP_20260815_201015/logs/run_11_txmeta_mbuf.log</t>
  </si>
  <si>
    <t xml:space="preserve">rts_generic</t>
  </si>
  <si>
    <t xml:space="preserve">TX ring enqueue API; TX ring producer synchronization</t>
  </si>
  <si>
    <t xml:space="preserve">TX ring enqueue API: explicit_mp; TX ring producer synchronization: configured_hts_but_explicit_mp</t>
  </si>
  <si>
    <t xml:space="preserve">TX ring enqueue API: generic; TX ring producer synchronization: rts</t>
  </si>
  <si>
    <t xml:space="preserve">P5_RING_SWEEP_20260815_181711/logs/run_03_rts_generic.log</t>
  </si>
  <si>
    <t xml:space="preserve">udp_seg2</t>
  </si>
  <si>
    <t xml:space="preserve">Experimental UDP segmentation request: enabled; UDP segmentation max group: 2</t>
  </si>
  <si>
    <t xml:space="preserve">P5_PERFORMANCE2_20260816_071117_SWEEP12/logs/run_06_udp_seg2.log</t>
  </si>
  <si>
    <t xml:space="preserve">cache128_lockfree</t>
  </si>
  <si>
    <t xml:space="preserve">Remove software TX lock</t>
  </si>
  <si>
    <t xml:space="preserve">Conditional TxLock acquire/release around TX burst</t>
  </si>
  <si>
    <t xml:space="preserve">No TxLock acquire/release in this single-DPDK-core experiment</t>
  </si>
  <si>
    <t xml:space="preserve">P5_CACHE128_ISOLATED_20260815_172930/logs/run_03_cache128_lockfree.log</t>
  </si>
  <si>
    <t xml:space="preserve">P5_CACHE128_ISOLATED_20260815_172930/logs/run_00_cache128_control.log</t>
  </si>
  <si>
    <t xml:space="preserve">skipoffcount</t>
  </si>
  <si>
    <t xml:space="preserve">OFF-mode ring-count hot-path instrumentation</t>
  </si>
  <si>
    <t xml:space="preserve">OFF-mode ring-count hot-path instrumentation: do not skip</t>
  </si>
  <si>
    <t xml:space="preserve">OFF-mode ring-count hot-path instrumentation: skip in OFF</t>
  </si>
  <si>
    <t xml:space="preserve">P5_SUPER_SWEEP_20260815_201015/logs/run_07_skipoffcount.log</t>
  </si>
  <si>
    <t xml:space="preserve">drain4_txmeta</t>
  </si>
  <si>
    <t xml:space="preserve">TX drain bursts per worker-loop visit; TX packet metadata backing</t>
  </si>
  <si>
    <t xml:space="preserve">TX drain bursts per worker-loop visit: 1; TX packet metadata backing: pool</t>
  </si>
  <si>
    <t xml:space="preserve">TX drain bursts per worker-loop visit: 4; TX packet metadata backing: mbuf</t>
  </si>
  <si>
    <t xml:space="preserve">P5_SUPER_SWEEP_20260815_211601/logs/run_16_drain4_txmeta.log</t>
  </si>
  <si>
    <t xml:space="preserve">txburst128</t>
  </si>
  <si>
    <t xml:space="preserve">TX burst / DEFAULT_TX_BURST_SIZE: 128</t>
  </si>
  <si>
    <t xml:space="preserve">P5_RING_SWEEP_20260815_181711/logs/run_10_txburst128.log</t>
  </si>
  <si>
    <t xml:space="preserve">ring1024</t>
  </si>
  <si>
    <t xml:space="preserve">TX software ring / DEFAULT_TX_RING_SIZE: 1024</t>
  </si>
  <si>
    <t xml:space="preserve">P5_RING_SWEEP_20260815_181711/logs/run_05_ring1024.log</t>
  </si>
  <si>
    <t xml:space="preserve">classic_mp</t>
  </si>
  <si>
    <t xml:space="preserve">TX ring producer synchronization: legacy</t>
  </si>
  <si>
    <t xml:space="preserve">TX ring producer synchronization: mp</t>
  </si>
  <si>
    <t xml:space="preserve">P5_SUPER_SWEEP_20260815_201015/logs/run_01_classic_mp.log</t>
  </si>
  <si>
    <t xml:space="preserve">rxmeta_pool</t>
  </si>
  <si>
    <t xml:space="preserve">P5_SUPER_SWEEP_20260815_221709/logs/run_10_rxmeta_pool.log</t>
  </si>
  <si>
    <t xml:space="preserve">P5_SUPER_SWEEP_20260815_211601/logs/run_00_measured_default.log</t>
  </si>
  <si>
    <t xml:space="preserve">txalloc_32</t>
  </si>
  <si>
    <t xml:space="preserve">TX mbuf allocation refill batch: 32</t>
  </si>
  <si>
    <t xml:space="preserve">P5_P2_GOODPUT_SCREEN_20260816_131412/logs/txalloc_32__idle_monitor_normal.log</t>
  </si>
  <si>
    <t xml:space="preserve">mtu1500</t>
  </si>
  <si>
    <t xml:space="preserve">DPDK RX MTU setting</t>
  </si>
  <si>
    <t xml:space="preserve">DPDK RX MTU setting: device max/default</t>
  </si>
  <si>
    <t xml:space="preserve">DPDK RX MTU setting: 1500</t>
  </si>
  <si>
    <t xml:space="preserve">P5_SUPER_SWEEP_20260815_201015/logs/run_06_mtu1500.log</t>
  </si>
  <si>
    <t xml:space="preserve">burst64</t>
  </si>
  <si>
    <t xml:space="preserve">RX burst / DEFAULT_RX_BURST_SIZE; TX burst / DEFAULT_TX_BURST_SIZE</t>
  </si>
  <si>
    <t xml:space="preserve">RX burst / DEFAULT_RX_BURST_SIZE: 32; TX burst / DEFAULT_TX_BURST_SIZE: 32</t>
  </si>
  <si>
    <t xml:space="preserve">RX burst / DEFAULT_RX_BURST_SIZE: 64; TX burst / DEFAULT_TX_BURST_SIZE: 64</t>
  </si>
  <si>
    <t xml:space="preserve">P5_STATIC_SWEEP_20260815_161742/logs/run_01_burst64.log</t>
  </si>
  <si>
    <t xml:space="preserve">mtu1500_classic_mp_drain4</t>
  </si>
  <si>
    <t xml:space="preserve">TX ring producer synchronization; TX drain bursts per worker-loop visit; DPDK RX MTU setting</t>
  </si>
  <si>
    <t xml:space="preserve">TX ring producer synchronization: legacy; TX drain bursts per worker-loop visit: 1; DPDK RX MTU setting: device max/default</t>
  </si>
  <si>
    <t xml:space="preserve">TX ring producer synchronization: mp; TX drain bursts per worker-loop visit: 4; DPDK RX MTU setting: 1500</t>
  </si>
  <si>
    <t xml:space="preserve">P5_SUPER_SWEEP_20260815_211601/logs/run_20_mtu1500_classic_mp_drain4.log</t>
  </si>
  <si>
    <t xml:space="preserve">P5_SUPER_SWEEP_20260815_201015/logs/run_00_measured_default.log</t>
  </si>
  <si>
    <t xml:space="preserve">tx64</t>
  </si>
  <si>
    <t xml:space="preserve">P5_STATIC_SWEEP_20260815_161742/logs/run_03_tx64.log</t>
  </si>
  <si>
    <t xml:space="preserve">classic_mp_drain4</t>
  </si>
  <si>
    <t xml:space="preserve">TX ring producer synchronization; TX drain bursts per worker-loop visit</t>
  </si>
  <si>
    <t xml:space="preserve">TX ring producer synchronization: legacy; TX drain bursts per worker-loop visit: 1</t>
  </si>
  <si>
    <t xml:space="preserve">TX ring producer synchronization: mp; TX drain bursts per worker-loop visit: 4</t>
  </si>
  <si>
    <t xml:space="preserve">P5_SUPER_SWEEP_20260815_211601/logs/run_13_classic_mp_drain4.log</t>
  </si>
  <si>
    <t xml:space="preserve">hts_generic</t>
  </si>
  <si>
    <t xml:space="preserve">TX ring enqueue API: generic; TX ring producer synchronization: hts</t>
  </si>
  <si>
    <t xml:space="preserve">P5_RING_SWEEP_20260815_181711/logs/run_01_hts_generic.log</t>
  </si>
  <si>
    <t xml:space="preserve">burst128</t>
  </si>
  <si>
    <t xml:space="preserve">RX burst / DEFAULT_RX_BURST_SIZE: 128; TX burst / DEFAULT_TX_BURST_SIZE: 128</t>
  </si>
  <si>
    <t xml:space="preserve">P5_STATIC_SWEEP_20260815_161742/logs/run_04_burst128.log</t>
  </si>
  <si>
    <t xml:space="preserve">P5_STATIC_SWEEP_20260815_161742/logs/run_00_native.log</t>
  </si>
  <si>
    <t xml:space="preserve">no_trace_ringcount</t>
  </si>
  <si>
    <t xml:space="preserve">P5_SUPER_SWEEP_20260815_201015/logs/run_10_no_trace_ringcount.log</t>
  </si>
  <si>
    <t xml:space="preserve">deq_generic</t>
  </si>
  <si>
    <t xml:space="preserve">TX ring dequeue API</t>
  </si>
  <si>
    <t xml:space="preserve">TX ring dequeue API: explicit_sc</t>
  </si>
  <si>
    <t xml:space="preserve">TX ring dequeue API: generic_sc</t>
  </si>
  <si>
    <t xml:space="preserve">P5_RING_SWEEP_20260815_181711/logs/run_04_deq_generic.log</t>
  </si>
  <si>
    <t xml:space="preserve">drain8</t>
  </si>
  <si>
    <t xml:space="preserve">TX drain bursts per worker-loop visit: 8</t>
  </si>
  <si>
    <t xml:space="preserve">P5_SUPER_SWEEP_20260815_201015/logs/run_04_drain8.log</t>
  </si>
  <si>
    <t xml:space="preserve">no_transfer_window</t>
  </si>
  <si>
    <t xml:space="preserve">P5_SUPER_SWEEP_20260815_201015/logs/run_09_no_transfer_window.log</t>
  </si>
  <si>
    <t xml:space="preserve">old_measured_baseline</t>
  </si>
  <si>
    <t xml:space="preserve">TX drain bursts per worker-loop visit; TX packet metadata backing; RX packet metadata backing; TX software lock mode</t>
  </si>
  <si>
    <t xml:space="preserve">TX drain bursts per worker-loop visit: 4; TX packet metadata backing: mbuf; RX packet metadata backing: mbuf; TX software lock mode: single_owner</t>
  </si>
  <si>
    <t xml:space="preserve">TX drain bursts per worker-loop visit: 1; TX packet metadata backing: pool; RX packet metadata backing: pool; TX software lock mode: legacy</t>
  </si>
  <si>
    <t xml:space="preserve">P5_SUPER_SWEEP_20260815_221709/logs/run_01_old_measured_baseline.log</t>
  </si>
  <si>
    <t xml:space="preserve">sharded_rxprefetch</t>
  </si>
  <si>
    <t xml:space="preserve">TX producer→consumer handoff; Whole-burst RX prefetch</t>
  </si>
  <si>
    <t xml:space="preserve">TX producer→consumer handoff: shared; Whole-burst RX prefetch: disabled</t>
  </si>
  <si>
    <t xml:space="preserve">TX producer→consumer handoff: sharded; Whole-burst RX prefetch: enabled</t>
  </si>
  <si>
    <t xml:space="preserve">P5_PERFORMANCE2_20260816_071117_SWEEP12/logs/run_09_sharded_rxprefetch.log</t>
  </si>
  <si>
    <t xml:space="preserve">txalloc16_no_zero</t>
  </si>
  <si>
    <t xml:space="preserve">TX mbuf allocation refill batch; Full DPDK_TX_PACKET private-metadata zero</t>
  </si>
  <si>
    <t xml:space="preserve">TX mbuf allocation refill batch: 1; Full DPDK_TX_PACKET private-metadata zero: enabled</t>
  </si>
  <si>
    <t xml:space="preserve">TX mbuf allocation refill batch: 16; Full DPDK_TX_PACKET private-metadata zero: disabled</t>
  </si>
  <si>
    <t xml:space="preserve">P5_P2_GOODPUT_SCREEN_20260816_131412/logs/txalloc16_no_zero__idle_monitor_normal.log</t>
  </si>
  <si>
    <t xml:space="preserve">cache128_counters</t>
  </si>
  <si>
    <t xml:space="preserve">Add diagnostic datapath counters</t>
  </si>
  <si>
    <t xml:space="preserve">No isolated diagnostic counters</t>
  </si>
  <si>
    <t xml:space="preserve">Add TX partial/drop/ring high-water/lock and RX allocation diagnostics</t>
  </si>
  <si>
    <t xml:space="preserve">P5_CACHE128_ISOLATED_20260815_172930/logs/run_04_cache128_counters.log</t>
  </si>
  <si>
    <t xml:space="preserve">cache128_udpcksum</t>
  </si>
  <si>
    <t xml:space="preserve">UDP checksum offload experiment</t>
  </si>
  <si>
    <t xml:space="preserve">Per-packet UDP checksum offload metadata: inactive/commented</t>
  </si>
  <si>
    <t xml:space="preserve">Require RTE_ETH_TX_OFFLOAD_UDP_CKSUM and set IPv4/IPv6 UDP checksum metadata</t>
  </si>
  <si>
    <t xml:space="preserve">P5_CACHE128_ISOLATED_20260815_172930/logs/run_02_cache128_udpcksum.log</t>
  </si>
  <si>
    <t xml:space="preserve">clean_hotpath</t>
  </si>
  <si>
    <t xml:space="preserve">OFF-mode ring-count hot-path instrumentation; DPDK debug packet counters; Transfer-window tracked RX/TX wrappers; Trace-only rte_ring_count calls</t>
  </si>
  <si>
    <t xml:space="preserve">OFF-mode ring-count hot-path instrumentation: do not skip; DPDK debug packet counters: enabled; Transfer-window tracked RX/TX wrappers: enabled; Trace-only rte_ring_count calls: enabled</t>
  </si>
  <si>
    <t xml:space="preserve">OFF-mode ring-count hot-path instrumentation: skip in OFF; DPDK debug packet counters: disabled; Transfer-window tracked RX/TX wrappers: disabled; Trace-only rte_ring_count calls: disabled</t>
  </si>
  <si>
    <t xml:space="preserve">P5_SUPER_SWEEP_20260815_211601/logs/run_14_clean_hotpath.log</t>
  </si>
  <si>
    <t xml:space="preserve">no_debug_meta</t>
  </si>
  <si>
    <t xml:space="preserve">P5_SUPER_SWEEP_20260815_221709/logs/run_06_no_debug_meta.log</t>
  </si>
  <si>
    <t xml:space="preserve">P5_RING_SWEEP_20260815_181711/logs/run_00_control.log</t>
  </si>
  <si>
    <t xml:space="preserve">cache128_txretry1</t>
  </si>
  <si>
    <t xml:space="preserve">One retry of unsent TX tail</t>
  </si>
  <si>
    <t xml:space="preserve">Unsent TX tail: freed/dropped after first rte_eth_tx_burst</t>
  </si>
  <si>
    <t xml:space="preserve">Unsent TX tail: one immediate retry, then free remaining</t>
  </si>
  <si>
    <t xml:space="preserve">P5_CACHE128_ISOLATED_20260815_172930/logs/run_01_cache128_txretry1.log</t>
  </si>
  <si>
    <t xml:space="preserve">power_friendly</t>
  </si>
  <si>
    <t xml:space="preserve">P5_P2_GOODPUT_SCREEN_20260816_131412/logs/no_tx_enqueue_counter__power_friendly.log</t>
  </si>
  <si>
    <t xml:space="preserve">P5_P2_GOODPUT_SCREEN_20260816_131412/logs/no_tx_meta_zero__power_friendly.log</t>
  </si>
  <si>
    <t xml:space="preserve">P5_P2_GOODPUT_SCREEN_20260816_131412/logs/lean_tx_rxpipe4__power_friendly.log</t>
  </si>
  <si>
    <t xml:space="preserve">P5_P2_GOODPUT_SCREEN_20260816_131412/logs/txalloc16_no_counter__power_friendly.log</t>
  </si>
  <si>
    <t xml:space="preserve">P5_P2_GOODPUT_SCREEN_20260816_131412/logs/sharded_1024__power_friendly.log</t>
  </si>
  <si>
    <t xml:space="preserve">P5_P2_GOODPUT_SCREEN_20260816_131412/logs/baseline__power_friendly.log</t>
  </si>
  <si>
    <t xml:space="preserve">P5_P2_GOODPUT_SCREEN_20260816_131412/logs/txalloc16_no_zero__power_friendly.log</t>
  </si>
  <si>
    <t xml:space="preserve">P5_P2_GOODPUT_SCREEN_20260816_131412/logs/rxpipe_2__power_friendly.log</t>
  </si>
  <si>
    <t xml:space="preserve">P5_P2_GOODPUT_SCREEN_20260816_131412/logs/txalloc_8__power_friendly.log</t>
  </si>
  <si>
    <t xml:space="preserve">P5_P2_GOODPUT_SCREEN_20260816_131412/logs/lean_tx__power_friendly.log</t>
  </si>
  <si>
    <t xml:space="preserve">P5_P2_GOODPUT_SCREEN_20260816_131412/logs/txalloc_32__power_friendly.log</t>
  </si>
  <si>
    <t xml:space="preserve">P5_P2_GOODPUT_SCREEN_20260816_131412/logs/txalloc_16__power_friendly.log</t>
  </si>
  <si>
    <t xml:space="preserve">P5_P2_GOODPUT_SCREEN_20260816_131412/logs/sharded_1024_mask__power_friendly.log</t>
  </si>
  <si>
    <t xml:space="preserve">P5_P2_GOODPUT_SCREEN_20260816_131412/logs/lean_tx_sharded1024_mask__power_friendly.log</t>
  </si>
  <si>
    <t xml:space="preserve">P5_P2_GOODPUT_SCREEN_20260816_131412/logs/rxpipe_4__power_friendly.log</t>
  </si>
  <si>
    <t xml:space="preserve">threshold64_meta</t>
  </si>
  <si>
    <t xml:space="preserve">TX drain backlog threshold</t>
  </si>
  <si>
    <t xml:space="preserve">TX drain backlog threshold: 0</t>
  </si>
  <si>
    <t xml:space="preserve">TX drain backlog threshold: 64</t>
  </si>
  <si>
    <t xml:space="preserve">P5_SUPER_SWEEP_20260815_221709/logs/run_05_threshold64_meta.log</t>
  </si>
  <si>
    <t xml:space="preserve">No</t>
  </si>
  <si>
    <t xml:space="preserve">drain5_meta</t>
  </si>
  <si>
    <t xml:space="preserve">TX drain bursts per worker-loop visit: 5</t>
  </si>
  <si>
    <t xml:space="preserve">Non-zero run/build return code 255; do not use for ranking.</t>
  </si>
  <si>
    <t xml:space="preserve">P5_SUPER_SWEEP_20260815_221709/logs/run_04_drain5_meta.log</t>
  </si>
  <si>
    <t xml:space="preserve">combo_txretry1</t>
  </si>
  <si>
    <t xml:space="preserve">20260815</t>
  </si>
  <si>
    <t xml:space="preserve">Non-zero run/build return code 20; do not use for ranking.</t>
  </si>
  <si>
    <t xml:space="preserve">P5_COMBO_ISOLATED_20260815_171901/goodput_summary.tsv</t>
  </si>
  <si>
    <t xml:space="preserve">combo_udpcksum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</si>
</sst>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23B4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D6074"/>
        <bgColor rgb="FF008080"/>
      </patternFill>
    </fill>
    <fill>
      <patternFill patternType="solid">
        <fgColor rgb="FFEAF4F7"/>
        <bgColor rgb="FFE2F3E8"/>
      </patternFill>
    </fill>
    <fill>
      <patternFill patternType="solid">
        <fgColor rgb="FFFFF4CC"/>
        <bgColor rgb="FFEAF4F7"/>
      </patternFill>
    </fill>
    <fill>
      <patternFill patternType="solid">
        <fgColor rgb="FFE2F3E8"/>
        <bgColor rgb="FFEAF4F7"/>
      </patternFill>
    </fill>
    <fill>
      <patternFill patternType="solid">
        <fgColor rgb="FFFF0000"/>
        <bgColor rgb="FF993300"/>
      </patternFill>
    </fill>
    <fill>
      <patternFill patternType="solid">
        <fgColor rgb="FFD9E8EE"/>
        <bgColor rgb="FFE2F3E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0">
    <dxf>
      <fill>
        <patternFill patternType="solid">
          <fgColor rgb="FF1D6074"/>
          <bgColor rgb="FF000000"/>
        </patternFill>
      </fill>
    </dxf>
    <dxf>
      <fill>
        <patternFill patternType="solid">
          <fgColor rgb="FFE2F3E8"/>
          <bgColor rgb="FF000000"/>
        </patternFill>
      </fill>
    </dxf>
    <dxf>
      <fill>
        <patternFill patternType="solid">
          <fgColor rgb="FFEAF4F7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DF4E5"/>
          <bgColor rgb="FF000000"/>
        </patternFill>
      </fill>
    </dxf>
    <dxf>
      <fill>
        <patternFill patternType="solid">
          <fgColor rgb="FFDEF4E4"/>
          <bgColor rgb="FF000000"/>
        </patternFill>
      </fill>
    </dxf>
    <dxf>
      <fill>
        <patternFill patternType="solid">
          <fgColor rgb="FFE1F4E2"/>
          <bgColor rgb="FF000000"/>
        </patternFill>
      </fill>
    </dxf>
    <dxf>
      <fill>
        <patternFill patternType="solid">
          <fgColor rgb="FFE4F4DF"/>
          <bgColor rgb="FF000000"/>
        </patternFill>
      </fill>
    </dxf>
    <dxf>
      <fill>
        <patternFill patternType="solid">
          <fgColor rgb="FFE6F4DE"/>
          <bgColor rgb="FF000000"/>
        </patternFill>
      </fill>
    </dxf>
    <dxf>
      <fill>
        <patternFill patternType="solid">
          <fgColor rgb="FFE7F4DD"/>
          <bgColor rgb="FF000000"/>
        </patternFill>
      </fill>
    </dxf>
    <dxf>
      <fill>
        <patternFill patternType="solid">
          <fgColor rgb="FFE7F4DE"/>
          <bgColor rgb="FF000000"/>
        </patternFill>
      </fill>
    </dxf>
    <dxf>
      <fill>
        <patternFill patternType="solid">
          <fgColor rgb="FFE8F4DD"/>
          <bgColor rgb="FF000000"/>
        </patternFill>
      </fill>
    </dxf>
    <dxf>
      <fill>
        <patternFill patternType="solid">
          <fgColor rgb="FFE9F4DC"/>
          <bgColor rgb="FF000000"/>
        </patternFill>
      </fill>
    </dxf>
    <dxf>
      <fill>
        <patternFill patternType="solid">
          <fgColor rgb="FFEAF4DB"/>
          <bgColor rgb="FF000000"/>
        </patternFill>
      </fill>
    </dxf>
    <dxf>
      <fill>
        <patternFill patternType="solid">
          <fgColor rgb="FFEAF4DC"/>
          <bgColor rgb="FF000000"/>
        </patternFill>
      </fill>
    </dxf>
    <dxf>
      <fill>
        <patternFill patternType="solid">
          <fgColor rgb="FFEBF4DA"/>
          <bgColor rgb="FF000000"/>
        </patternFill>
      </fill>
    </dxf>
    <dxf>
      <fill>
        <patternFill patternType="solid">
          <fgColor rgb="FFEBF4DB"/>
          <bgColor rgb="FF000000"/>
        </patternFill>
      </fill>
    </dxf>
    <dxf>
      <fill>
        <patternFill patternType="solid">
          <fgColor rgb="FFECF4DA"/>
          <bgColor rgb="FF000000"/>
        </patternFill>
      </fill>
    </dxf>
    <dxf>
      <fill>
        <patternFill patternType="solid">
          <fgColor rgb="FFEDF4D9"/>
          <bgColor rgb="FF000000"/>
        </patternFill>
      </fill>
    </dxf>
    <dxf>
      <fill>
        <patternFill patternType="solid">
          <fgColor rgb="FFF0F4D7"/>
          <bgColor rgb="FF000000"/>
        </patternFill>
      </fill>
    </dxf>
    <dxf>
      <fill>
        <patternFill patternType="solid">
          <fgColor rgb="FFF1F4D6"/>
          <bgColor rgb="FF000000"/>
        </patternFill>
      </fill>
    </dxf>
    <dxf>
      <fill>
        <patternFill patternType="solid">
          <fgColor rgb="FFF2F4D5"/>
          <bgColor rgb="FF000000"/>
        </patternFill>
      </fill>
    </dxf>
    <dxf>
      <fill>
        <patternFill patternType="solid">
          <fgColor rgb="FFF3F4D5"/>
          <bgColor rgb="FF000000"/>
        </patternFill>
      </fill>
    </dxf>
    <dxf>
      <fill>
        <patternFill patternType="solid">
          <fgColor rgb="FFF4F4D4"/>
          <bgColor rgb="FF000000"/>
        </patternFill>
      </fill>
    </dxf>
    <dxf>
      <fill>
        <patternFill patternType="solid">
          <fgColor rgb="FFF5F4D4"/>
          <bgColor rgb="FF000000"/>
        </patternFill>
      </fill>
    </dxf>
    <dxf>
      <fill>
        <patternFill patternType="solid">
          <fgColor rgb="FFF6F4D2"/>
          <bgColor rgb="FF000000"/>
        </patternFill>
      </fill>
    </dxf>
    <dxf>
      <fill>
        <patternFill patternType="solid">
          <fgColor rgb="FFF6F4D3"/>
          <bgColor rgb="FF000000"/>
        </patternFill>
      </fill>
    </dxf>
    <dxf>
      <fill>
        <patternFill patternType="solid">
          <fgColor rgb="FFF8F4D1"/>
          <bgColor rgb="FF000000"/>
        </patternFill>
      </fill>
    </dxf>
    <dxf>
      <fill>
        <patternFill patternType="solid">
          <fgColor rgb="FFFAF4CF"/>
          <bgColor rgb="FF000000"/>
        </patternFill>
      </fill>
    </dxf>
    <dxf>
      <fill>
        <patternFill patternType="solid">
          <fgColor rgb="FFFAF4D0"/>
          <bgColor rgb="FF000000"/>
        </patternFill>
      </fill>
    </dxf>
    <dxf>
      <fill>
        <patternFill patternType="solid">
          <fgColor rgb="FFFBF4CE"/>
          <bgColor rgb="FF000000"/>
        </patternFill>
      </fill>
    </dxf>
    <dxf>
      <fill>
        <patternFill patternType="solid">
          <fgColor rgb="FFFBF4CF"/>
          <bgColor rgb="FF000000"/>
        </patternFill>
      </fill>
    </dxf>
    <dxf>
      <fill>
        <patternFill patternType="solid">
          <fgColor rgb="FFFCF4CE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DECEB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FDEEE1"/>
          <bgColor rgb="FF000000"/>
        </patternFill>
      </fill>
    </dxf>
    <dxf>
      <fill>
        <patternFill patternType="solid">
          <fgColor rgb="FFFDEEE2"/>
          <bgColor rgb="FF000000"/>
        </patternFill>
      </fill>
    </dxf>
    <dxf>
      <fill>
        <patternFill patternType="solid">
          <fgColor rgb="FFFDEEE3"/>
          <bgColor rgb="FF000000"/>
        </patternFill>
      </fill>
    </dxf>
    <dxf>
      <fill>
        <patternFill patternType="solid">
          <fgColor rgb="FFFDEEE4"/>
          <bgColor rgb="FF000000"/>
        </patternFill>
      </fill>
    </dxf>
    <dxf>
      <fill>
        <patternFill patternType="solid">
          <fgColor rgb="FFFDEFDE"/>
          <bgColor rgb="FF000000"/>
        </patternFill>
      </fill>
    </dxf>
    <dxf>
      <fill>
        <patternFill patternType="solid">
          <fgColor rgb="FFFDEFDF"/>
          <bgColor rgb="FF000000"/>
        </patternFill>
      </fill>
    </dxf>
    <dxf>
      <fill>
        <patternFill patternType="solid">
          <fgColor rgb="FFFDEFE0"/>
          <bgColor rgb="FF000000"/>
        </patternFill>
      </fill>
    </dxf>
    <dxf>
      <fill>
        <patternFill patternType="solid">
          <fgColor rgb="FFFDF4CD"/>
          <bgColor rgb="FF000000"/>
        </patternFill>
      </fill>
    </dxf>
    <dxf>
      <fill>
        <patternFill patternType="solid">
          <fgColor rgb="FFFDF4CE"/>
          <bgColor rgb="FF000000"/>
        </patternFill>
      </fill>
    </dxf>
    <dxf>
      <fill>
        <patternFill patternType="solid">
          <fgColor rgb="FFFEF0D9"/>
          <bgColor rgb="FF000000"/>
        </patternFill>
      </fill>
    </dxf>
    <dxf>
      <fill>
        <patternFill patternType="solid">
          <fgColor rgb="FFFEF0DC"/>
          <bgColor rgb="FF000000"/>
        </patternFill>
      </fill>
    </dxf>
    <dxf>
      <fill>
        <patternFill patternType="solid">
          <fgColor rgb="FFFEF1D6"/>
          <bgColor rgb="FF000000"/>
        </patternFill>
      </fill>
    </dxf>
    <dxf>
      <fill>
        <patternFill patternType="solid">
          <fgColor rgb="FFFEF1D7"/>
          <bgColor rgb="FF000000"/>
        </patternFill>
      </fill>
    </dxf>
    <dxf>
      <fill>
        <patternFill patternType="solid">
          <fgColor rgb="FFFEF1D8"/>
          <bgColor rgb="FF000000"/>
        </patternFill>
      </fill>
    </dxf>
    <dxf>
      <fill>
        <patternFill patternType="solid">
          <fgColor rgb="FFFEF2D1"/>
          <bgColor rgb="FF000000"/>
        </patternFill>
      </fill>
    </dxf>
    <dxf>
      <fill>
        <patternFill patternType="solid">
          <fgColor rgb="FFFEF2D3"/>
          <bgColor rgb="FF000000"/>
        </patternFill>
      </fill>
    </dxf>
    <dxf>
      <fill>
        <patternFill patternType="solid">
          <fgColor rgb="FFFEF3CD"/>
          <bgColor rgb="FF000000"/>
        </patternFill>
      </fill>
    </dxf>
    <dxf>
      <fill>
        <patternFill patternType="solid">
          <fgColor rgb="FFFEF3CE"/>
          <bgColor rgb="FF000000"/>
        </patternFill>
      </fill>
    </dxf>
    <dxf>
      <fill>
        <patternFill patternType="solid">
          <fgColor rgb="FFFEF3CF"/>
          <bgColor rgb="FF000000"/>
        </patternFill>
      </fill>
    </dxf>
    <dxf>
      <fill>
        <patternFill patternType="solid">
          <fgColor rgb="FFFEF3D0"/>
          <bgColor rgb="FF000000"/>
        </patternFill>
      </fill>
    </dxf>
    <dxf>
      <fill>
        <patternFill patternType="solid">
          <fgColor rgb="FFFEF4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074"/>
      <rgbColor rgb="FFC0C0C0"/>
      <rgbColor rgb="FF808080"/>
      <rgbColor rgb="FF9999FF"/>
      <rgbColor rgb="FF993366"/>
      <rgbColor rgb="FFFFF4CC"/>
      <rgbColor rgb="FFE2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7"/>
      <rgbColor rgb="FFD9E8E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B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eneralTable" displayName="GeneralTable" ref="A2:AP111" headerRowCount="1" totalsRowCount="0" totalsRowShown="0">
  <tableColumns count="42">
    <tableColumn id="1" name="Rank PLUS"/>
    <tableColumn id="2" name="Rank PLUS D1"/>
    <tableColumn id="3" name="Rank PLUS D2+"/>
    <tableColumn id="4" name="Valid for ranking"/>
    <tableColumn id="5" name="Family"/>
    <tableColumn id="6" name="Campaign"/>
    <tableColumn id="7" name="Profile"/>
    <tableColumn id="8" name="Workload"/>
    <tableColumn id="9" name="Date"/>
    <tableColumn id="10" name="Timestamp"/>
    <tableColumn id="11" name="Runs"/>
    <tableColumn id="12" name="Downloads / run / mode"/>
    <tableColumn id="13" name="Total downloads tested"/>
    <tableColumn id="14" name="Baseline / control"/>
    <tableColumn id="15" name="OFF aggregate"/>
    <tableColumn id="16" name="BASIC aggregate"/>
    <tableColumn id="17" name="PLUS aggregate"/>
    <tableColumn id="18" name="Quality"/>
    <tableColumn id="19" name="Change(s)"/>
    <tableColumn id="20" name="Modified source file"/>
    <tableColumn id="21" name="Transformer(s)"/>
    <tableColumn id="22" name="From"/>
    <tableColumn id="23" name="To"/>
    <tableColumn id="24" name="Baseline PLUS"/>
    <tableColumn id="25" name="PLUS Δ"/>
    <tableColumn id="26" name="PLUS Δ %"/>
    <tableColumn id="27" name="OFF D1"/>
    <tableColumn id="28" name="BASIC D1"/>
    <tableColumn id="29" name="PLUS D1"/>
    <tableColumn id="30" name="Baseline PLUS D1"/>
    <tableColumn id="31" name="D1 Δ"/>
    <tableColumn id="32" name="D1 Δ %"/>
    <tableColumn id="33" name="OFF D2+"/>
    <tableColumn id="34" name="BASIC D2+"/>
    <tableColumn id="35" name="PLUS D2+"/>
    <tableColumn id="36" name="Baseline PLUS D2+"/>
    <tableColumn id="37" name="D2+ Δ"/>
    <tableColumn id="38" name="D2+ Δ %"/>
    <tableColumn id="39" name="RC"/>
    <tableColumn id="40" name="Notes"/>
    <tableColumn id="41" name="Evidence path"/>
    <tableColumn id="42" name="Source URL"/>
  </tableColumns>
</table>
</file>

<file path=xl/tables/table2.xml><?xml version="1.0" encoding="utf-8"?>
<table xmlns="http://schemas.openxmlformats.org/spreadsheetml/2006/main" id="2" name="OptimizationPathChanges" displayName="OptimizationPathChanges" ref="A1:K14" headerRowCount="1" totalsRowCount="0" totalsRowShown="0">
  <tableColumns count="11">
    <tableColumn id="1" name="Step"/>
    <tableColumn id="2" name="Stage"/>
    <tableColumn id="3" name="Category"/>
    <tableColumn id="4" name="Change"/>
    <tableColumn id="5" name="From"/>
    <tableColumn id="6" name="To"/>
    <tableColumn id="7" name="What "/>
    <tableColumn id="8" name="Why "/>
    <tableColumn id="9" name="File modified"/>
    <tableColumn id="10" name="Transformer / build path"/>
    <tableColumn id="11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9"/>
  <sheetViews>
    <sheetView showFormulas="false" showGridLines="true" showRowColHeaders="true" showZeros="true" rightToLeft="false" tabSelected="true" showOutlineSymbols="true" defaultGridColor="true" view="normal" topLeftCell="A1" colorId="64" zoomScale="157" zoomScaleNormal="157" zoomScalePageLayoutView="100" workbookViewId="0">
      <selection pane="topLeft" activeCell="H26" activeCellId="0" sqref="H26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42.67"/>
    <col collapsed="false" customWidth="true" hidden="false" outlineLevel="0" max="2" min="2" style="1" width="66.67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6" min="5" style="1" width="34"/>
    <col collapsed="false" customWidth="true" hidden="false" outlineLevel="0" max="8" min="7" style="1" width="52"/>
    <col collapsed="false" customWidth="true" hidden="false" outlineLevel="0" max="9" min="9" style="1" width="48"/>
    <col collapsed="false" customWidth="true" hidden="false" outlineLevel="0" max="10" min="10" style="2" width="42"/>
    <col collapsed="false" customWidth="true" hidden="false" outlineLevel="0" max="11" min="11" style="1" width="58"/>
    <col collapsed="false" customWidth="false" hidden="false" outlineLevel="0" max="12" min="12" style="3" width="8.83"/>
    <col collapsed="false" customWidth="false" hidden="false" outlineLevel="0" max="16384" min="13" style="1" width="8.83"/>
  </cols>
  <sheetData>
    <row r="1" customFormat="false" ht="4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customFormat="false" ht="35.05" hidden="false" customHeight="false" outlineLevel="0" collapsed="false">
      <c r="A2" s="7" t="n">
        <v>1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8" t="s">
        <v>19</v>
      </c>
      <c r="K2" s="7" t="s">
        <v>20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customFormat="false" ht="35.05" hidden="false" customHeight="false" outlineLevel="0" collapsed="false">
      <c r="A3" s="7" t="n">
        <v>2</v>
      </c>
      <c r="B3" s="7" t="s">
        <v>11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18</v>
      </c>
      <c r="J3" s="8" t="s">
        <v>19</v>
      </c>
      <c r="K3" s="7" t="s">
        <v>20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customFormat="false" ht="35.05" hidden="false" customHeight="false" outlineLevel="0" collapsed="false">
      <c r="A4" s="7" t="n">
        <v>3</v>
      </c>
      <c r="B4" s="7" t="s">
        <v>11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18</v>
      </c>
      <c r="J4" s="8" t="s">
        <v>19</v>
      </c>
      <c r="K4" s="7" t="s">
        <v>20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customFormat="false" ht="57.45" hidden="false" customHeight="false" outlineLevel="0" collapsed="false">
      <c r="A5" s="7" t="n">
        <v>4</v>
      </c>
      <c r="B5" s="7" t="s">
        <v>11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7" t="s">
        <v>18</v>
      </c>
      <c r="J5" s="8" t="s">
        <v>19</v>
      </c>
      <c r="K5" s="7" t="s">
        <v>20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customFormat="false" ht="46.25" hidden="false" customHeight="false" outlineLevel="0" collapsed="false">
      <c r="A6" s="7" t="n">
        <v>5</v>
      </c>
      <c r="B6" s="7" t="s">
        <v>11</v>
      </c>
      <c r="C6" s="7" t="s">
        <v>39</v>
      </c>
      <c r="D6" s="7" t="s">
        <v>40</v>
      </c>
      <c r="E6" s="7" t="s">
        <v>41</v>
      </c>
      <c r="F6" s="7" t="s">
        <v>42</v>
      </c>
      <c r="G6" s="7" t="s">
        <v>43</v>
      </c>
      <c r="H6" s="7" t="s">
        <v>44</v>
      </c>
      <c r="I6" s="7" t="s">
        <v>18</v>
      </c>
      <c r="J6" s="8" t="s">
        <v>19</v>
      </c>
      <c r="K6" s="7" t="s">
        <v>20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customFormat="false" ht="35.05" hidden="false" customHeight="false" outlineLevel="0" collapsed="false">
      <c r="A7" s="7" t="n">
        <v>6</v>
      </c>
      <c r="B7" s="7" t="s">
        <v>11</v>
      </c>
      <c r="C7" s="7" t="s">
        <v>45</v>
      </c>
      <c r="D7" s="7" t="s">
        <v>46</v>
      </c>
      <c r="E7" s="7" t="s">
        <v>47</v>
      </c>
      <c r="F7" s="7" t="s">
        <v>48</v>
      </c>
      <c r="G7" s="7" t="s">
        <v>49</v>
      </c>
      <c r="H7" s="7" t="s">
        <v>50</v>
      </c>
      <c r="I7" s="7" t="s">
        <v>18</v>
      </c>
      <c r="J7" s="8" t="s">
        <v>19</v>
      </c>
      <c r="K7" s="7" t="s">
        <v>20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customFormat="false" ht="46.25" hidden="false" customHeight="false" outlineLevel="0" collapsed="false">
      <c r="A8" s="7" t="n">
        <v>7</v>
      </c>
      <c r="B8" s="7" t="s">
        <v>11</v>
      </c>
      <c r="C8" s="7" t="s">
        <v>51</v>
      </c>
      <c r="D8" s="7" t="s">
        <v>52</v>
      </c>
      <c r="E8" s="7" t="s">
        <v>53</v>
      </c>
      <c r="F8" s="7" t="s">
        <v>54</v>
      </c>
      <c r="G8" s="7" t="s">
        <v>55</v>
      </c>
      <c r="H8" s="7" t="s">
        <v>56</v>
      </c>
      <c r="I8" s="7" t="s">
        <v>18</v>
      </c>
      <c r="J8" s="8" t="s">
        <v>19</v>
      </c>
      <c r="K8" s="7" t="s">
        <v>20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customFormat="false" ht="53.25" hidden="false" customHeight="true" outlineLevel="0" collapsed="false">
      <c r="A9" s="7" t="n">
        <v>8</v>
      </c>
      <c r="B9" s="7" t="s">
        <v>11</v>
      </c>
      <c r="C9" s="7" t="s">
        <v>57</v>
      </c>
      <c r="D9" s="7" t="s">
        <v>58</v>
      </c>
      <c r="E9" s="7" t="s">
        <v>59</v>
      </c>
      <c r="F9" s="7" t="s">
        <v>60</v>
      </c>
      <c r="G9" s="7" t="s">
        <v>61</v>
      </c>
      <c r="H9" s="7" t="s">
        <v>62</v>
      </c>
      <c r="I9" s="7" t="s">
        <v>18</v>
      </c>
      <c r="J9" s="8" t="s">
        <v>19</v>
      </c>
      <c r="K9" s="7" t="s">
        <v>20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customFormat="false" ht="46.25" hidden="false" customHeight="false" outlineLevel="0" collapsed="false">
      <c r="A10" s="9" t="n">
        <v>9</v>
      </c>
      <c r="B10" s="9" t="s">
        <v>63</v>
      </c>
      <c r="C10" s="9" t="s">
        <v>64</v>
      </c>
      <c r="D10" s="9" t="s">
        <v>65</v>
      </c>
      <c r="E10" s="9" t="s">
        <v>66</v>
      </c>
      <c r="F10" s="9" t="s">
        <v>67</v>
      </c>
      <c r="G10" s="9" t="s">
        <v>68</v>
      </c>
      <c r="H10" s="9" t="s">
        <v>69</v>
      </c>
      <c r="I10" s="9" t="s">
        <v>18</v>
      </c>
      <c r="J10" s="10" t="s">
        <v>70</v>
      </c>
      <c r="K10" s="9" t="s">
        <v>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customFormat="false" ht="57.45" hidden="false" customHeight="false" outlineLevel="0" collapsed="false">
      <c r="A11" s="11" t="n">
        <v>10</v>
      </c>
      <c r="B11" s="11" t="s">
        <v>72</v>
      </c>
      <c r="C11" s="11" t="s">
        <v>73</v>
      </c>
      <c r="D11" s="11" t="s">
        <v>74</v>
      </c>
      <c r="E11" s="11" t="s">
        <v>75</v>
      </c>
      <c r="F11" s="11" t="s">
        <v>76</v>
      </c>
      <c r="G11" s="11" t="s">
        <v>77</v>
      </c>
      <c r="H11" s="11" t="s">
        <v>78</v>
      </c>
      <c r="I11" s="11" t="s">
        <v>18</v>
      </c>
      <c r="J11" s="12" t="s">
        <v>79</v>
      </c>
      <c r="K11" s="11" t="s">
        <v>80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customFormat="false" ht="46.25" hidden="false" customHeight="false" outlineLevel="0" collapsed="false">
      <c r="A12" s="11" t="n">
        <v>11</v>
      </c>
      <c r="B12" s="11" t="s">
        <v>72</v>
      </c>
      <c r="C12" s="11" t="s">
        <v>81</v>
      </c>
      <c r="D12" s="11" t="s">
        <v>82</v>
      </c>
      <c r="E12" s="11" t="s">
        <v>83</v>
      </c>
      <c r="F12" s="11" t="s">
        <v>84</v>
      </c>
      <c r="G12" s="11" t="s">
        <v>85</v>
      </c>
      <c r="H12" s="11" t="s">
        <v>86</v>
      </c>
      <c r="I12" s="11" t="s">
        <v>18</v>
      </c>
      <c r="J12" s="12" t="s">
        <v>79</v>
      </c>
      <c r="K12" s="11" t="s">
        <v>80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customFormat="false" ht="35.05" hidden="false" customHeight="false" outlineLevel="0" collapsed="false">
      <c r="A13" s="11" t="n">
        <v>12</v>
      </c>
      <c r="B13" s="11" t="s">
        <v>72</v>
      </c>
      <c r="C13" s="11" t="s">
        <v>87</v>
      </c>
      <c r="D13" s="11" t="s">
        <v>88</v>
      </c>
      <c r="E13" s="11" t="s">
        <v>89</v>
      </c>
      <c r="F13" s="11" t="s">
        <v>90</v>
      </c>
      <c r="G13" s="11" t="s">
        <v>91</v>
      </c>
      <c r="H13" s="11" t="s">
        <v>92</v>
      </c>
      <c r="I13" s="11" t="s">
        <v>18</v>
      </c>
      <c r="J13" s="12" t="s">
        <v>79</v>
      </c>
      <c r="K13" s="11" t="s">
        <v>80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customFormat="false" ht="35.05" hidden="false" customHeight="false" outlineLevel="0" collapsed="false">
      <c r="A14" s="11" t="n">
        <v>13</v>
      </c>
      <c r="B14" s="11" t="s">
        <v>72</v>
      </c>
      <c r="C14" s="11" t="s">
        <v>93</v>
      </c>
      <c r="D14" s="11" t="s">
        <v>94</v>
      </c>
      <c r="E14" s="11" t="s">
        <v>95</v>
      </c>
      <c r="F14" s="11" t="s">
        <v>96</v>
      </c>
      <c r="G14" s="11" t="s">
        <v>97</v>
      </c>
      <c r="H14" s="11" t="s">
        <v>98</v>
      </c>
      <c r="I14" s="11" t="s">
        <v>18</v>
      </c>
      <c r="J14" s="12" t="s">
        <v>79</v>
      </c>
      <c r="K14" s="11" t="s">
        <v>80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customFormat="false" ht="15" hidden="false" customHeight="false" outlineLevel="0" collapsed="false"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customFormat="false" ht="15" hidden="false" customHeight="false" outlineLevel="0" collapsed="false"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="14" customFormat="true" ht="15" hidden="false" customHeight="false" outlineLevel="0" collapsed="false">
      <c r="A17" s="13" t="s">
        <v>99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customFormat="false" ht="15" hidden="false" customHeight="false" outlineLevel="0" collapsed="false">
      <c r="A18" s="4" t="s">
        <v>100</v>
      </c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105</v>
      </c>
      <c r="G18" s="4" t="s">
        <v>106</v>
      </c>
      <c r="H18" s="4" t="s">
        <v>107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customFormat="false" ht="15" hidden="false" customHeight="false" outlineLevel="0" collapsed="false">
      <c r="A19" s="1" t="s">
        <v>108</v>
      </c>
      <c r="B19" s="1" t="s">
        <v>109</v>
      </c>
      <c r="C19" s="1" t="n">
        <v>1</v>
      </c>
      <c r="D19" s="1" t="n">
        <v>3</v>
      </c>
      <c r="E19" s="15" t="n">
        <v>8.842326</v>
      </c>
      <c r="F19" s="15" t="n">
        <v>9.030784</v>
      </c>
      <c r="G19" s="15" t="n">
        <v>7.92485409035487</v>
      </c>
      <c r="H19" s="15" t="n">
        <v>9.70818320266672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="1" customFormat="true" ht="15" hidden="false" customHeight="false" outlineLevel="0" collapsed="false">
      <c r="A20" s="16" t="s">
        <v>110</v>
      </c>
      <c r="B20" s="16" t="s">
        <v>111</v>
      </c>
      <c r="C20" s="16" t="n">
        <v>1</v>
      </c>
      <c r="D20" s="16" t="n">
        <v>3</v>
      </c>
      <c r="E20" s="17" t="n">
        <v>8.936393</v>
      </c>
      <c r="F20" s="17" t="n">
        <v>10.122864</v>
      </c>
      <c r="G20" s="17" t="n">
        <v>9.83021812836486</v>
      </c>
      <c r="H20" s="17" t="n">
        <v>10.2758195930957</v>
      </c>
      <c r="I20" s="3"/>
    </row>
    <row r="21" s="18" customFormat="tru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customFormat="false" ht="15" hidden="false" customHeight="fals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9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customFormat="false" ht="15" hidden="false" customHeight="false" outlineLevel="0" collapsed="false"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customFormat="false" ht="15" hidden="false" customHeight="false" outlineLevel="0" collapsed="false"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customFormat="false" ht="15" hidden="false" customHeight="false" outlineLevel="0" collapsed="false"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customFormat="false" ht="15" hidden="false" customHeight="false" outlineLevel="0" collapsed="false"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customFormat="false" ht="15" hidden="false" customHeight="false" outlineLevel="0" collapsed="false"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customFormat="false" ht="15" hidden="false" customHeight="false" outlineLevel="0" collapsed="false"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customFormat="false" ht="15" hidden="false" customHeight="false" outlineLevel="0" collapsed="false"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customFormat="false" ht="15" hidden="false" customHeight="false" outlineLevel="0" collapsed="false"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customFormat="false" ht="15" hidden="false" customHeight="false" outlineLevel="0" collapsed="false"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customFormat="false" ht="15" hidden="false" customHeight="false" outlineLevel="0" collapsed="false"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customFormat="false" ht="15" hidden="false" customHeight="false" outlineLevel="0" collapsed="false"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customFormat="false" ht="15" hidden="false" customHeight="false" outlineLevel="0" collapsed="false"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customFormat="false" ht="15" hidden="false" customHeight="false" outlineLevel="0" collapsed="false"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customFormat="false" ht="15" hidden="false" customHeight="false" outlineLevel="0" collapsed="false"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customFormat="false" ht="15" hidden="false" customHeight="false" outlineLevel="0" collapsed="false"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customFormat="false" ht="15" hidden="false" customHeight="false" outlineLevel="0" collapsed="false"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customFormat="false" ht="15" hidden="false" customHeight="false" outlineLevel="0" collapsed="false"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customFormat="false" ht="15" hidden="false" customHeight="false" outlineLevel="0" collapsed="false"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customFormat="false" ht="15" hidden="false" customHeight="false" outlineLevel="0" collapsed="false"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customFormat="false" ht="15" hidden="false" customHeight="false" outlineLevel="0" collapsed="false"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customFormat="false" ht="15" hidden="false" customHeight="false" outlineLevel="0" collapsed="false"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customFormat="false" ht="15" hidden="false" customHeight="false" outlineLevel="0" collapsed="false"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customFormat="false" ht="15" hidden="false" customHeight="false" outlineLevel="0" collapsed="false"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customFormat="false" ht="15" hidden="false" customHeight="false" outlineLevel="0" collapsed="false"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customFormat="false" ht="15" hidden="false" customHeight="false" outlineLevel="0" collapsed="false"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customFormat="false" ht="15" hidden="false" customHeight="false" outlineLevel="0" collapsed="false"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customFormat="false" ht="15" hidden="false" customHeight="false" outlineLevel="0" collapsed="false"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customFormat="false" ht="15" hidden="false" customHeight="false" outlineLevel="0" collapsed="false"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customFormat="false" ht="15" hidden="false" customHeight="false" outlineLevel="0" collapsed="false"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customFormat="false" ht="15" hidden="false" customHeight="false" outlineLevel="0" collapsed="false"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customFormat="false" ht="15" hidden="false" customHeight="false" outlineLevel="0" collapsed="false"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customFormat="false" ht="15" hidden="false" customHeight="false" outlineLevel="0" collapsed="false"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customFormat="false" ht="15" hidden="false" customHeight="false" outlineLevel="0" collapsed="false"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customFormat="false" ht="15" hidden="false" customHeight="false" outlineLevel="0" collapsed="false"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customFormat="false" ht="15" hidden="false" customHeight="false" outlineLevel="0" collapsed="false"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customFormat="false" ht="15" hidden="false" customHeight="false" outlineLevel="0" collapsed="false"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customFormat="false" ht="15" hidden="false" customHeight="false" outlineLevel="0" collapsed="false"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customFormat="false" ht="15" hidden="false" customHeight="false" outlineLevel="0" collapsed="false"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customFormat="false" ht="15" hidden="false" customHeight="false" outlineLevel="0" collapsed="false"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customFormat="false" ht="15" hidden="false" customHeight="false" outlineLevel="0" collapsed="false"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customFormat="false" ht="15" hidden="false" customHeight="false" outlineLevel="0" collapsed="false"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customFormat="false" ht="15" hidden="false" customHeight="false" outlineLevel="0" collapsed="false"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customFormat="false" ht="15" hidden="false" customHeight="false" outlineLevel="0" collapsed="false"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customFormat="false" ht="15" hidden="false" customHeight="false" outlineLevel="0" collapsed="false"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customFormat="false" ht="15" hidden="false" customHeight="false" outlineLevel="0" collapsed="false"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customFormat="false" ht="15" hidden="false" customHeight="false" outlineLevel="0" collapsed="false"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customFormat="false" ht="15" hidden="false" customHeight="false" outlineLevel="0" collapsed="false"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customFormat="false" ht="15" hidden="false" customHeight="false" outlineLevel="0" collapsed="false"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customFormat="false" ht="15" hidden="false" customHeight="false" outlineLevel="0" collapsed="false"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customFormat="false" ht="15" hidden="false" customHeight="false" outlineLevel="0" collapsed="false"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customFormat="false" ht="15" hidden="false" customHeight="false" outlineLevel="0" collapsed="false"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customFormat="false" ht="15" hidden="false" customHeight="false" outlineLevel="0" collapsed="false"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customFormat="false" ht="15" hidden="false" customHeight="false" outlineLevel="0" collapsed="false"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customFormat="false" ht="15" hidden="false" customHeight="false" outlineLevel="0" collapsed="false"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customFormat="false" ht="15" hidden="false" customHeight="false" outlineLevel="0" collapsed="false"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customFormat="false" ht="15" hidden="false" customHeight="false" outlineLevel="0" collapsed="false"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customFormat="false" ht="15" hidden="false" customHeight="false" outlineLevel="0" collapsed="false"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customFormat="false" ht="15" hidden="false" customHeight="false" outlineLevel="0" collapsed="false"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customFormat="false" ht="15" hidden="false" customHeight="false" outlineLevel="0" collapsed="false"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customFormat="false" ht="15" hidden="false" customHeight="false" outlineLevel="0" collapsed="false"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customFormat="false" ht="15" hidden="false" customHeight="false" outlineLevel="0" collapsed="false"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customFormat="false" ht="15" hidden="false" customHeight="false" outlineLevel="0" collapsed="false"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customFormat="false" ht="15" hidden="false" customHeight="false" outlineLevel="0" collapsed="false"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customFormat="false" ht="15" hidden="false" customHeight="false" outlineLevel="0" collapsed="false"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customFormat="false" ht="15" hidden="false" customHeight="false" outlineLevel="0" collapsed="false"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customFormat="false" ht="15" hidden="false" customHeight="false" outlineLevel="0" collapsed="false"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customFormat="false" ht="15" hidden="false" customHeight="false" outlineLevel="0" collapsed="false"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customFormat="false" ht="15" hidden="false" customHeight="false" outlineLevel="0" collapsed="false"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customFormat="false" ht="15" hidden="false" customHeight="false" outlineLevel="0" collapsed="false"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customFormat="false" ht="15" hidden="false" customHeight="false" outlineLevel="0" collapsed="false"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customFormat="false" ht="15" hidden="false" customHeight="false" outlineLevel="0" collapsed="false"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customFormat="false" ht="15" hidden="false" customHeight="false" outlineLevel="0" collapsed="false"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customFormat="false" ht="15" hidden="false" customHeight="false" outlineLevel="0" collapsed="false"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customFormat="false" ht="15" hidden="false" customHeight="false" outlineLevel="0" collapsed="false"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customFormat="false" ht="15" hidden="false" customHeight="false" outlineLevel="0" collapsed="false"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customFormat="false" ht="15" hidden="false" customHeight="false" outlineLevel="0" collapsed="false"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customFormat="false" ht="15" hidden="false" customHeight="false" outlineLevel="0" collapsed="false"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customFormat="false" ht="15" hidden="false" customHeight="false" outlineLevel="0" collapsed="false"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customFormat="false" ht="15" hidden="false" customHeight="false" outlineLevel="0" collapsed="false"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customFormat="false" ht="15" hidden="false" customHeight="false" outlineLevel="0" collapsed="false"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customFormat="false" ht="15" hidden="false" customHeight="false" outlineLevel="0" collapsed="false"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customFormat="false" ht="15" hidden="false" customHeight="false" outlineLevel="0" collapsed="false"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customFormat="false" ht="15" hidden="false" customHeight="false" outlineLevel="0" collapsed="false"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customFormat="false" ht="15" hidden="false" customHeight="false" outlineLevel="0" collapsed="false"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customFormat="false" ht="15" hidden="false" customHeight="false" outlineLevel="0" collapsed="false"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customFormat="false" ht="15" hidden="false" customHeight="false" outlineLevel="0" collapsed="false"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customFormat="false" ht="15" hidden="false" customHeight="false" outlineLevel="0" collapsed="false"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customFormat="false" ht="15" hidden="false" customHeight="false" outlineLevel="0" collapsed="false"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customFormat="false" ht="15" hidden="false" customHeight="false" outlineLevel="0" collapsed="false"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customFormat="false" ht="15" hidden="false" customHeight="false" outlineLevel="0" collapsed="false"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customFormat="false" ht="15" hidden="false" customHeight="false" outlineLevel="0" collapsed="false"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customFormat="false" ht="15" hidden="false" customHeight="false" outlineLevel="0" collapsed="false"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customFormat="false" ht="15" hidden="false" customHeight="false" outlineLevel="0" collapsed="false"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customFormat="false" ht="15" hidden="false" customHeight="false" outlineLevel="0" collapsed="false"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customFormat="false" ht="15" hidden="false" customHeight="false" outlineLevel="0" collapsed="false"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customFormat="false" ht="15" hidden="false" customHeight="false" outlineLevel="0" collapsed="false"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customFormat="false" ht="15" hidden="false" customHeight="false" outlineLevel="0" collapsed="false"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customFormat="false" ht="15" hidden="false" customHeight="false" outlineLevel="0" collapsed="false"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customFormat="false" ht="15" hidden="false" customHeight="false" outlineLevel="0" collapsed="false"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customFormat="false" ht="15" hidden="false" customHeight="false" outlineLevel="0" collapsed="false"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customFormat="false" ht="15" hidden="false" customHeight="false" outlineLevel="0" collapsed="false"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customFormat="false" ht="15" hidden="false" customHeight="false" outlineLevel="0" collapsed="false"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customFormat="false" ht="15" hidden="false" customHeight="false" outlineLevel="0" collapsed="false"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customFormat="false" ht="15" hidden="false" customHeight="false" outlineLevel="0" collapsed="false"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customFormat="false" ht="15" hidden="false" customHeight="false" outlineLevel="0" collapsed="false"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customFormat="false" ht="15" hidden="false" customHeight="false" outlineLevel="0" collapsed="false"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customFormat="false" ht="15" hidden="false" customHeight="false" outlineLevel="0" collapsed="false"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customFormat="false" ht="15" hidden="false" customHeight="false" outlineLevel="0" collapsed="false"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customFormat="false" ht="15" hidden="false" customHeight="false" outlineLevel="0" collapsed="false"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customFormat="false" ht="15" hidden="false" customHeight="false" outlineLevel="0" collapsed="false"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customFormat="false" ht="15" hidden="false" customHeight="false" outlineLevel="0" collapsed="false"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customFormat="false" ht="15" hidden="false" customHeight="false" outlineLevel="0" collapsed="false"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customFormat="false" ht="15" hidden="false" customHeight="false" outlineLevel="0" collapsed="false"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customFormat="false" ht="15" hidden="false" customHeight="false" outlineLevel="0" collapsed="false"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customFormat="false" ht="15" hidden="false" customHeight="false" outlineLevel="0" collapsed="false"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customFormat="false" ht="15" hidden="false" customHeight="false" outlineLevel="0" collapsed="false"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customFormat="false" ht="15" hidden="false" customHeight="false" outlineLevel="0" collapsed="false"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customFormat="false" ht="15" hidden="false" customHeight="false" outlineLevel="0" collapsed="false"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customFormat="false" ht="15" hidden="false" customHeight="false" outlineLevel="0" collapsed="false"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customFormat="false" ht="15" hidden="false" customHeight="false" outlineLevel="0" collapsed="false"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customFormat="false" ht="15" hidden="false" customHeight="false" outlineLevel="0" collapsed="false"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customFormat="false" ht="15" hidden="false" customHeight="false" outlineLevel="0" collapsed="false"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customFormat="false" ht="15" hidden="false" customHeight="false" outlineLevel="0" collapsed="false"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customFormat="false" ht="15" hidden="false" customHeight="false" outlineLevel="0" collapsed="false"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customFormat="false" ht="15" hidden="false" customHeight="false" outlineLevel="0" collapsed="false"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customFormat="false" ht="15" hidden="false" customHeight="false" outlineLevel="0" collapsed="false"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customFormat="false" ht="15" hidden="false" customHeight="false" outlineLevel="0" collapsed="false"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customFormat="false" ht="15" hidden="false" customHeight="false" outlineLevel="0" collapsed="false"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customFormat="false" ht="15" hidden="false" customHeight="false" outlineLevel="0" collapsed="false"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customFormat="false" ht="15" hidden="false" customHeight="false" outlineLevel="0" collapsed="false"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customFormat="false" ht="15" hidden="false" customHeight="false" outlineLevel="0" collapsed="false"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customFormat="false" ht="15" hidden="false" customHeight="false" outlineLevel="0" collapsed="false"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customFormat="false" ht="15" hidden="false" customHeight="false" outlineLevel="0" collapsed="false"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customFormat="false" ht="15" hidden="false" customHeight="false" outlineLevel="0" collapsed="false"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customFormat="false" ht="15" hidden="false" customHeight="false" outlineLevel="0" collapsed="false"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customFormat="false" ht="15" hidden="false" customHeight="false" outlineLevel="0" collapsed="false"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customFormat="false" ht="15" hidden="false" customHeight="false" outlineLevel="0" collapsed="false"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customFormat="false" ht="15" hidden="false" customHeight="false" outlineLevel="0" collapsed="false"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customFormat="false" ht="15" hidden="false" customHeight="false" outlineLevel="0" collapsed="false"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customFormat="false" ht="15" hidden="false" customHeight="false" outlineLevel="0" collapsed="false"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customFormat="false" ht="15" hidden="false" customHeight="false" outlineLevel="0" collapsed="false"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customFormat="false" ht="15" hidden="false" customHeight="false" outlineLevel="0" collapsed="false"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customFormat="false" ht="15" hidden="false" customHeight="false" outlineLevel="0" collapsed="false"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customFormat="false" ht="15" hidden="false" customHeight="false" outlineLevel="0" collapsed="false"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customFormat="false" ht="15" hidden="false" customHeight="false" outlineLevel="0" collapsed="false"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customFormat="false" ht="15" hidden="false" customHeight="false" outlineLevel="0" collapsed="false"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customFormat="false" ht="15" hidden="false" customHeight="false" outlineLevel="0" collapsed="false"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customFormat="false" ht="15" hidden="false" customHeight="false" outlineLevel="0" collapsed="false"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customFormat="false" ht="15" hidden="false" customHeight="false" outlineLevel="0" collapsed="false"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customFormat="false" ht="15" hidden="false" customHeight="false" outlineLevel="0" collapsed="false"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customFormat="false" ht="15" hidden="false" customHeight="false" outlineLevel="0" collapsed="false"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customFormat="false" ht="15" hidden="false" customHeight="false" outlineLevel="0" collapsed="false"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customFormat="false" ht="15" hidden="false" customHeight="false" outlineLevel="0" collapsed="false"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customFormat="false" ht="15" hidden="false" customHeight="false" outlineLevel="0" collapsed="false"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customFormat="false" ht="15" hidden="false" customHeight="false" outlineLevel="0" collapsed="false"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customFormat="false" ht="15" hidden="false" customHeight="false" outlineLevel="0" collapsed="false"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customFormat="false" ht="15" hidden="false" customHeight="false" outlineLevel="0" collapsed="false"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customFormat="false" ht="15" hidden="false" customHeight="false" outlineLevel="0" collapsed="false"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customFormat="false" ht="15" hidden="false" customHeight="false" outlineLevel="0" collapsed="false"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customFormat="false" ht="15" hidden="false" customHeight="false" outlineLevel="0" collapsed="false"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customFormat="false" ht="15" hidden="false" customHeight="false" outlineLevel="0" collapsed="false"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customFormat="false" ht="15" hidden="false" customHeight="false" outlineLevel="0" collapsed="false"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customFormat="false" ht="15" hidden="false" customHeight="false" outlineLevel="0" collapsed="false"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customFormat="false" ht="15" hidden="false" customHeight="false" outlineLevel="0" collapsed="false"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customFormat="false" ht="15" hidden="false" customHeight="false" outlineLevel="0" collapsed="false"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customFormat="false" ht="15" hidden="false" customHeight="false" outlineLevel="0" collapsed="false"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customFormat="false" ht="15" hidden="false" customHeight="false" outlineLevel="0" collapsed="false"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customFormat="false" ht="15" hidden="false" customHeight="false" outlineLevel="0" collapsed="false"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customFormat="false" ht="15" hidden="false" customHeight="false" outlineLevel="0" collapsed="false"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customFormat="false" ht="15" hidden="false" customHeight="false" outlineLevel="0" collapsed="false"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customFormat="false" ht="15" hidden="false" customHeight="false" outlineLevel="0" collapsed="false"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customFormat="false" ht="15" hidden="false" customHeight="false" outlineLevel="0" collapsed="false"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customFormat="false" ht="15" hidden="false" customHeight="false" outlineLevel="0" collapsed="false"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customFormat="false" ht="15" hidden="false" customHeight="false" outlineLevel="0" collapsed="false"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customFormat="false" ht="15" hidden="false" customHeight="false" outlineLevel="0" collapsed="false"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customFormat="false" ht="15" hidden="false" customHeight="false" outlineLevel="0" collapsed="false"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customFormat="false" ht="15" hidden="false" customHeight="false" outlineLevel="0" collapsed="false"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customFormat="false" ht="15" hidden="false" customHeight="false" outlineLevel="0" collapsed="false"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customFormat="false" ht="15" hidden="false" customHeight="false" outlineLevel="0" collapsed="false"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customFormat="false" ht="15" hidden="false" customHeight="false" outlineLevel="0" collapsed="false"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customFormat="false" ht="15" hidden="false" customHeight="false" outlineLevel="0" collapsed="false"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customFormat="false" ht="15" hidden="false" customHeight="false" outlineLevel="0" collapsed="false"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customFormat="false" ht="15" hidden="false" customHeight="false" outlineLevel="0" collapsed="false"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customFormat="false" ht="15" hidden="false" customHeight="false" outlineLevel="0" collapsed="false"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customFormat="false" ht="15" hidden="false" customHeight="false" outlineLevel="0" collapsed="false"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customFormat="false" ht="15" hidden="false" customHeight="false" outlineLevel="0" collapsed="false"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customFormat="false" ht="15" hidden="false" customHeight="false" outlineLevel="0" collapsed="false"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customFormat="false" ht="15" hidden="false" customHeight="false" outlineLevel="0" collapsed="false"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customFormat="false" ht="15" hidden="false" customHeight="false" outlineLevel="0" collapsed="false"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customFormat="false" ht="15" hidden="false" customHeight="false" outlineLevel="0" collapsed="false"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customFormat="false" ht="15" hidden="false" customHeight="false" outlineLevel="0" collapsed="false"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customFormat="false" ht="15" hidden="false" customHeight="false" outlineLevel="0" collapsed="false"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customFormat="false" ht="15" hidden="false" customHeight="false" outlineLevel="0" collapsed="false"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customFormat="false" ht="15" hidden="false" customHeight="false" outlineLevel="0" collapsed="false"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customFormat="false" ht="15" hidden="false" customHeight="false" outlineLevel="0" collapsed="false"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customFormat="false" ht="15" hidden="false" customHeight="false" outlineLevel="0" collapsed="false"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customFormat="false" ht="15" hidden="false" customHeight="false" outlineLevel="0" collapsed="false"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</sheetData>
  <mergeCells count="1">
    <mergeCell ref="A17:K17"/>
  </mergeCells>
  <conditionalFormatting sqref="F19:F20">
    <cfRule type="colorScale" priority="2">
      <colorScale>
        <cfvo type="min" val="0"/>
        <cfvo type="percentile" val="50"/>
        <cfvo type="max" val="0"/>
        <color rgb="FFFDECEC"/>
        <color rgb="FFFFF4CC"/>
        <color rgb="FFDDF4E5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11"/>
  <sheetViews>
    <sheetView showFormulas="false" showGridLines="true" showRowColHeaders="true" showZeros="true" rightToLeft="false" tabSelected="false" showOutlineSymbols="true" defaultGridColor="true" view="normal" topLeftCell="F1" colorId="64" zoomScale="157" zoomScaleNormal="157" zoomScalePageLayoutView="100" workbookViewId="0">
      <selection pane="topLeft" activeCell="S5" activeCellId="0" sqref="S5"/>
    </sheetView>
  </sheetViews>
  <sheetFormatPr defaultColWidth="8.83203125" defaultRowHeight="15" customHeight="true" zeroHeight="false" outlineLevelRow="0" outlineLevelCol="0"/>
  <cols>
    <col collapsed="false" customWidth="true" hidden="false" outlineLevel="0" max="3" min="1" style="0" width="4.16"/>
    <col collapsed="false" customWidth="true" hidden="false" outlineLevel="0" max="4" min="4" style="0" width="4"/>
    <col collapsed="false" customWidth="true" hidden="false" outlineLevel="0" max="5" min="5" style="0" width="15.33"/>
    <col collapsed="false" customWidth="true" hidden="false" outlineLevel="0" max="6" min="6" style="0" width="53.51"/>
    <col collapsed="false" customWidth="true" hidden="false" outlineLevel="0" max="7" min="7" style="0" width="25"/>
    <col collapsed="false" customWidth="true" hidden="false" outlineLevel="0" max="8" min="8" style="0" width="17.83"/>
    <col collapsed="false" customWidth="true" hidden="false" outlineLevel="0" max="9" min="9" style="0" width="10.51"/>
    <col collapsed="false" customWidth="true" hidden="false" outlineLevel="0" max="10" min="10" style="0" width="12.16"/>
    <col collapsed="false" customWidth="true" hidden="false" outlineLevel="0" max="12" min="11" style="0" width="2.16"/>
    <col collapsed="false" customWidth="true" hidden="false" outlineLevel="0" max="13" min="13" style="0" width="3.16"/>
    <col collapsed="false" customWidth="true" hidden="false" outlineLevel="0" max="14" min="14" style="0" width="26.83"/>
    <col collapsed="false" customWidth="true" hidden="false" outlineLevel="0" max="15" min="15" style="0" width="13.16"/>
    <col collapsed="false" customWidth="true" hidden="false" outlineLevel="0" max="16" min="16" style="0" width="15.33"/>
    <col collapsed="false" customWidth="true" hidden="false" outlineLevel="0" max="17" min="17" style="0" width="14.33"/>
    <col collapsed="false" customWidth="true" hidden="false" outlineLevel="0" max="18" min="18" style="0" width="20.51"/>
    <col collapsed="false" customWidth="true" hidden="false" outlineLevel="0" max="19" min="19" style="0" width="251"/>
    <col collapsed="false" customWidth="true" hidden="false" outlineLevel="0" max="20" min="20" style="0" width="59.16"/>
    <col collapsed="false" customWidth="true" hidden="false" outlineLevel="0" max="23" min="21" style="0" width="255.83"/>
    <col collapsed="false" customWidth="true" hidden="false" outlineLevel="0" max="24" min="24" style="0" width="9.16"/>
    <col collapsed="false" customWidth="true" hidden="false" outlineLevel="0" max="25" min="25" style="0" width="9.83"/>
    <col collapsed="false" customWidth="true" hidden="false" outlineLevel="0" max="26" min="26" style="0" width="12.83"/>
    <col collapsed="false" customWidth="true" hidden="false" outlineLevel="0" max="30" min="27" style="0" width="12.16"/>
    <col collapsed="false" customWidth="true" hidden="false" outlineLevel="0" max="32" min="31" style="0" width="12.83"/>
    <col collapsed="false" customWidth="true" hidden="false" outlineLevel="0" max="36" min="33" style="0" width="12.16"/>
    <col collapsed="false" customWidth="true" hidden="false" outlineLevel="0" max="38" min="37" style="0" width="12.83"/>
    <col collapsed="false" customWidth="true" hidden="false" outlineLevel="0" max="39" min="39" style="0" width="4.16"/>
    <col collapsed="false" customWidth="true" hidden="false" outlineLevel="0" max="40" min="40" style="0" width="103.83"/>
    <col collapsed="false" customWidth="true" hidden="false" outlineLevel="0" max="41" min="41" style="0" width="89.83"/>
    <col collapsed="false" customWidth="true" hidden="false" outlineLevel="0" max="42" min="42" style="0" width="151.33"/>
  </cols>
  <sheetData>
    <row r="1" customFormat="false" ht="15" hidden="false" customHeight="false" outlineLevel="0" collapsed="false">
      <c r="A1" s="20" t="s">
        <v>112</v>
      </c>
      <c r="B1" s="20"/>
      <c r="C1" s="20"/>
      <c r="D1" s="20"/>
      <c r="E1" s="20"/>
      <c r="F1" s="20"/>
      <c r="G1" s="20"/>
      <c r="H1" s="20"/>
      <c r="I1" s="20"/>
      <c r="J1" s="20"/>
      <c r="K1" s="20" t="s">
        <v>113</v>
      </c>
      <c r="L1" s="20"/>
      <c r="M1" s="20"/>
      <c r="N1" s="20" t="s">
        <v>114</v>
      </c>
      <c r="O1" s="20"/>
      <c r="P1" s="20" t="s">
        <v>115</v>
      </c>
      <c r="Q1" s="20"/>
      <c r="R1" s="20"/>
      <c r="S1" s="20"/>
      <c r="T1" s="20"/>
      <c r="U1" s="20" t="s">
        <v>116</v>
      </c>
      <c r="V1" s="20"/>
      <c r="W1" s="20"/>
      <c r="X1" s="20"/>
      <c r="Y1" s="20"/>
      <c r="Z1" s="20"/>
      <c r="AA1" s="20" t="s">
        <v>117</v>
      </c>
      <c r="AB1" s="20"/>
      <c r="AC1" s="20"/>
      <c r="AD1" s="20"/>
      <c r="AE1" s="20"/>
      <c r="AF1" s="20"/>
      <c r="AG1" s="20" t="s">
        <v>118</v>
      </c>
      <c r="AH1" s="20"/>
      <c r="AI1" s="20"/>
      <c r="AJ1" s="20"/>
      <c r="AK1" s="20"/>
      <c r="AL1" s="20"/>
      <c r="AM1" s="20" t="s">
        <v>119</v>
      </c>
      <c r="AN1" s="20"/>
      <c r="AO1" s="20"/>
      <c r="AP1" s="20"/>
    </row>
    <row r="2" customFormat="false" ht="110.25" hidden="false" customHeight="true" outlineLevel="0" collapsed="false">
      <c r="A2" s="21" t="s">
        <v>120</v>
      </c>
      <c r="B2" s="21" t="s">
        <v>121</v>
      </c>
      <c r="C2" s="21" t="s">
        <v>122</v>
      </c>
      <c r="D2" s="21" t="s">
        <v>123</v>
      </c>
      <c r="E2" s="21" t="s">
        <v>124</v>
      </c>
      <c r="F2" s="21" t="s">
        <v>125</v>
      </c>
      <c r="G2" s="21" t="s">
        <v>126</v>
      </c>
      <c r="H2" s="21" t="s">
        <v>127</v>
      </c>
      <c r="I2" s="21" t="s">
        <v>128</v>
      </c>
      <c r="J2" s="21" t="s">
        <v>129</v>
      </c>
      <c r="K2" s="21" t="s">
        <v>102</v>
      </c>
      <c r="L2" s="21" t="s">
        <v>130</v>
      </c>
      <c r="M2" s="21" t="s">
        <v>131</v>
      </c>
      <c r="N2" s="21" t="s">
        <v>132</v>
      </c>
      <c r="O2" s="22" t="s">
        <v>104</v>
      </c>
      <c r="P2" s="22" t="s">
        <v>133</v>
      </c>
      <c r="Q2" s="22" t="s">
        <v>105</v>
      </c>
      <c r="R2" s="21" t="s">
        <v>134</v>
      </c>
      <c r="S2" s="21" t="s">
        <v>135</v>
      </c>
      <c r="T2" s="21" t="s">
        <v>136</v>
      </c>
      <c r="U2" s="21" t="s">
        <v>137</v>
      </c>
      <c r="V2" s="21" t="s">
        <v>4</v>
      </c>
      <c r="W2" s="21" t="s">
        <v>5</v>
      </c>
      <c r="X2" s="21" t="s">
        <v>138</v>
      </c>
      <c r="Y2" s="21" t="s">
        <v>139</v>
      </c>
      <c r="Z2" s="21" t="s">
        <v>140</v>
      </c>
      <c r="AA2" s="21" t="s">
        <v>141</v>
      </c>
      <c r="AB2" s="21" t="s">
        <v>142</v>
      </c>
      <c r="AC2" s="21" t="s">
        <v>143</v>
      </c>
      <c r="AD2" s="21" t="s">
        <v>144</v>
      </c>
      <c r="AE2" s="21" t="s">
        <v>145</v>
      </c>
      <c r="AF2" s="21" t="s">
        <v>146</v>
      </c>
      <c r="AG2" s="21" t="s">
        <v>147</v>
      </c>
      <c r="AH2" s="21" t="s">
        <v>148</v>
      </c>
      <c r="AI2" s="21" t="s">
        <v>149</v>
      </c>
      <c r="AJ2" s="21" t="s">
        <v>150</v>
      </c>
      <c r="AK2" s="21" t="s">
        <v>151</v>
      </c>
      <c r="AL2" s="21" t="s">
        <v>152</v>
      </c>
      <c r="AM2" s="21" t="s">
        <v>153</v>
      </c>
      <c r="AN2" s="21" t="s">
        <v>154</v>
      </c>
      <c r="AO2" s="21" t="s">
        <v>155</v>
      </c>
      <c r="AP2" s="21" t="s">
        <v>156</v>
      </c>
    </row>
    <row r="3" customFormat="false" ht="15" hidden="false" customHeight="false" outlineLevel="0" collapsed="false">
      <c r="A3" s="23" t="n">
        <v>1</v>
      </c>
      <c r="B3" s="23" t="n">
        <v>1</v>
      </c>
      <c r="C3" s="23" t="n">
        <v>14</v>
      </c>
      <c r="D3" s="23" t="s">
        <v>157</v>
      </c>
      <c r="E3" s="23" t="s">
        <v>158</v>
      </c>
      <c r="F3" s="23" t="s">
        <v>159</v>
      </c>
      <c r="G3" s="23" t="s">
        <v>160</v>
      </c>
      <c r="H3" s="23" t="s">
        <v>161</v>
      </c>
      <c r="I3" s="23" t="s">
        <v>162</v>
      </c>
      <c r="J3" s="23" t="n">
        <v>46250.5886194676</v>
      </c>
      <c r="K3" s="23" t="n">
        <v>1</v>
      </c>
      <c r="L3" s="23" t="n">
        <v>3</v>
      </c>
      <c r="M3" s="23" t="n">
        <f aca="false">IF(OR(K3="",L3=""),"",K3*L3*3)</f>
        <v>9</v>
      </c>
      <c r="N3" s="23" t="s">
        <v>163</v>
      </c>
      <c r="O3" s="23" t="n">
        <v>8.936393</v>
      </c>
      <c r="P3" s="23" t="n">
        <v>8.418786</v>
      </c>
      <c r="Q3" s="23" t="n">
        <v>10.122864</v>
      </c>
      <c r="R3" s="23" t="s">
        <v>164</v>
      </c>
      <c r="S3" s="23" t="s">
        <v>165</v>
      </c>
      <c r="T3" s="23" t="s">
        <v>18</v>
      </c>
      <c r="U3" s="23" t="s">
        <v>166</v>
      </c>
      <c r="V3" s="23" t="s">
        <v>167</v>
      </c>
      <c r="W3" s="23" t="s">
        <v>168</v>
      </c>
      <c r="X3" s="23" t="n">
        <v>9.596545</v>
      </c>
      <c r="Y3" s="23" t="n">
        <f aca="false">IF(OR(Q3="",X3=""),"",Q3-X3)</f>
        <v>0.526318999999999</v>
      </c>
      <c r="Z3" s="23" t="n">
        <f aca="false">IF(OR(Q3="",X3="",X3=0),"",Q3/X3-1)</f>
        <v>0.0548446341886584</v>
      </c>
      <c r="AA3" s="23" t="n">
        <v>8.41461915733903</v>
      </c>
      <c r="AB3" s="23" t="n">
        <v>7.75608208507467</v>
      </c>
      <c r="AC3" s="23" t="n">
        <v>9.83021812836486</v>
      </c>
      <c r="AD3" s="23" t="n">
        <v>8.46428544862225</v>
      </c>
      <c r="AE3" s="23" t="n">
        <f aca="false">IF(OR(AC3="",AD3=""),"",AC3-AD3)</f>
        <v>1.36593267974261</v>
      </c>
      <c r="AF3" s="23" t="n">
        <f aca="false">IF(OR(AC3="",AD3="",AD3=0),"",AC3/AD3-1)</f>
        <v>0.161376017861608</v>
      </c>
      <c r="AG3" s="23" t="n">
        <v>9.22232126546994</v>
      </c>
      <c r="AH3" s="23" t="n">
        <v>8.7945001623386</v>
      </c>
      <c r="AI3" s="23" t="n">
        <v>10.2758195930957</v>
      </c>
      <c r="AJ3" s="23" t="n">
        <v>10.2844123721585</v>
      </c>
      <c r="AK3" s="23" t="n">
        <f aca="false">IF(OR(AI3="",AJ3=""),"",AI3-AJ3)</f>
        <v>-0.00859277906280376</v>
      </c>
      <c r="AL3" s="23" t="n">
        <f aca="false">IF(OR(AI3="",AJ3="",AJ3=0),"",AI3/AJ3-1)</f>
        <v>-0.000835514830780815</v>
      </c>
      <c r="AM3" s="23" t="n">
        <v>0</v>
      </c>
      <c r="AN3" s="23" t="s">
        <v>169</v>
      </c>
      <c r="AO3" s="23" t="s">
        <v>170</v>
      </c>
      <c r="AP3" s="23" t="s">
        <v>80</v>
      </c>
    </row>
    <row r="4" customFormat="false" ht="15" hidden="false" customHeight="false" outlineLevel="0" collapsed="false">
      <c r="A4" s="23" t="n">
        <v>2</v>
      </c>
      <c r="B4" s="23" t="n">
        <v>4</v>
      </c>
      <c r="C4" s="23" t="n">
        <v>9</v>
      </c>
      <c r="D4" s="23" t="s">
        <v>157</v>
      </c>
      <c r="E4" s="23" t="s">
        <v>171</v>
      </c>
      <c r="F4" s="23" t="s">
        <v>172</v>
      </c>
      <c r="G4" s="23" t="s">
        <v>173</v>
      </c>
      <c r="H4" s="23" t="s">
        <v>174</v>
      </c>
      <c r="I4" s="23" t="s">
        <v>175</v>
      </c>
      <c r="J4" s="23" t="n">
        <v>46249.86505</v>
      </c>
      <c r="K4" s="23" t="n">
        <v>1</v>
      </c>
      <c r="L4" s="23" t="n">
        <v>3</v>
      </c>
      <c r="M4" s="23" t="n">
        <f aca="false">IF(OR(K4="",L4=""),"",K4*L4*3)</f>
        <v>9</v>
      </c>
      <c r="N4" s="23" t="s">
        <v>176</v>
      </c>
      <c r="O4" s="23" t="n">
        <v>8.900834</v>
      </c>
      <c r="P4" s="23" t="n">
        <v>8.427762</v>
      </c>
      <c r="Q4" s="23" t="n">
        <v>10.10971</v>
      </c>
      <c r="R4" s="23" t="s">
        <v>164</v>
      </c>
      <c r="S4" s="23" t="s">
        <v>177</v>
      </c>
      <c r="T4" s="23" t="s">
        <v>18</v>
      </c>
      <c r="U4" s="23" t="s">
        <v>178</v>
      </c>
      <c r="V4" s="23" t="s">
        <v>179</v>
      </c>
      <c r="W4" s="23" t="s">
        <v>180</v>
      </c>
      <c r="X4" s="23" t="n">
        <v>9.874782</v>
      </c>
      <c r="Y4" s="23" t="n">
        <f aca="false">IF(OR(Q4="",X4=""),"",Q4-X4)</f>
        <v>0.234928</v>
      </c>
      <c r="Z4" s="23" t="n">
        <f aca="false">IF(OR(Q4="",X4="",X4=0),"",Q4/X4-1)</f>
        <v>0.0237907024175319</v>
      </c>
      <c r="AA4" s="23" t="n">
        <v>8.322336</v>
      </c>
      <c r="AB4" s="23" t="n">
        <v>7.912825</v>
      </c>
      <c r="AC4" s="23" t="n">
        <v>9.670751</v>
      </c>
      <c r="AD4" s="23" t="n">
        <v>8.895737</v>
      </c>
      <c r="AE4" s="23" t="n">
        <f aca="false">IF(OR(AC4="",AD4=""),"",AC4-AD4)</f>
        <v>0.775013999999999</v>
      </c>
      <c r="AF4" s="23" t="n">
        <f aca="false">IF(OR(AC4="",AD4="",AD4=0),"",AC4/AD4-1)</f>
        <v>0.0871219551567226</v>
      </c>
      <c r="AG4" s="23" t="n">
        <v>9.221328</v>
      </c>
      <c r="AH4" s="23" t="n">
        <v>8.711208</v>
      </c>
      <c r="AI4" s="23" t="n">
        <v>10.34448</v>
      </c>
      <c r="AJ4" s="23" t="n">
        <v>10.449825</v>
      </c>
      <c r="AK4" s="23" t="n">
        <f aca="false">IF(OR(AI4="",AJ4=""),"",AI4-AJ4)</f>
        <v>-0.105345</v>
      </c>
      <c r="AL4" s="23" t="n">
        <f aca="false">IF(OR(AI4="",AJ4="",AJ4=0),"",AI4/AJ4-1)</f>
        <v>-0.0100810300650968</v>
      </c>
      <c r="AM4" s="23" t="n">
        <v>0</v>
      </c>
      <c r="AN4" s="23" t="s">
        <v>181</v>
      </c>
      <c r="AO4" s="23" t="s">
        <v>182</v>
      </c>
      <c r="AP4" s="23" t="s">
        <v>183</v>
      </c>
    </row>
    <row r="5" customFormat="false" ht="15" hidden="false" customHeight="false" outlineLevel="0" collapsed="false">
      <c r="A5" s="23" t="n">
        <v>3</v>
      </c>
      <c r="B5" s="23" t="n">
        <v>11</v>
      </c>
      <c r="C5" s="23" t="n">
        <v>6</v>
      </c>
      <c r="D5" s="23" t="s">
        <v>157</v>
      </c>
      <c r="E5" s="23" t="s">
        <v>184</v>
      </c>
      <c r="F5" s="23" t="s">
        <v>185</v>
      </c>
      <c r="G5" s="23" t="s">
        <v>186</v>
      </c>
      <c r="H5" s="23" t="s">
        <v>174</v>
      </c>
      <c r="I5" s="23" t="s">
        <v>175</v>
      </c>
      <c r="J5" s="23" t="n">
        <v>46249.8184917361</v>
      </c>
      <c r="K5" s="23" t="n">
        <v>1</v>
      </c>
      <c r="L5" s="23" t="n">
        <v>3</v>
      </c>
      <c r="M5" s="23" t="n">
        <f aca="false">IF(OR(K5="",L5=""),"",K5*L5*3)</f>
        <v>9</v>
      </c>
      <c r="N5" s="23" t="s">
        <v>187</v>
      </c>
      <c r="O5" s="23" t="n">
        <v>9.145927</v>
      </c>
      <c r="P5" s="23" t="n">
        <v>8.927281</v>
      </c>
      <c r="Q5" s="23" t="n">
        <v>10.02378</v>
      </c>
      <c r="R5" s="23" t="s">
        <v>164</v>
      </c>
      <c r="S5" s="23" t="s">
        <v>188</v>
      </c>
      <c r="T5" s="23" t="s">
        <v>18</v>
      </c>
      <c r="U5" s="23" t="s">
        <v>178</v>
      </c>
      <c r="V5" s="23" t="s">
        <v>189</v>
      </c>
      <c r="W5" s="23" t="s">
        <v>190</v>
      </c>
      <c r="X5" s="23" t="n">
        <v>9.128501</v>
      </c>
      <c r="Y5" s="23" t="n">
        <f aca="false">IF(OR(Q5="",X5=""),"",Q5-X5)</f>
        <v>0.895279</v>
      </c>
      <c r="Z5" s="23" t="n">
        <f aca="false">IF(OR(Q5="",X5="",X5=0),"",Q5/X5-1)</f>
        <v>0.0980751385139795</v>
      </c>
      <c r="AA5" s="23" t="n">
        <v>8.46120997405964</v>
      </c>
      <c r="AB5" s="23" t="n">
        <v>8.72166221729898</v>
      </c>
      <c r="AC5" s="23" t="n">
        <v>9.37573101597843</v>
      </c>
      <c r="AD5" s="23" t="n">
        <v>8.27026407471985</v>
      </c>
      <c r="AE5" s="23" t="n">
        <f aca="false">IF(OR(AC5="",AD5=""),"",AC5-AD5)</f>
        <v>1.10546694125858</v>
      </c>
      <c r="AF5" s="23" t="n">
        <f aca="false">IF(OR(AC5="",AD5="",AD5=0),"",AC5/AD5-1)</f>
        <v>0.133667671463807</v>
      </c>
      <c r="AG5" s="23" t="n">
        <v>9.53159479844483</v>
      </c>
      <c r="AH5" s="23" t="n">
        <v>9.0337693250453</v>
      </c>
      <c r="AI5" s="23" t="n">
        <v>10.3826017478167</v>
      </c>
      <c r="AJ5" s="23" t="n">
        <v>9.62807248093933</v>
      </c>
      <c r="AK5" s="23" t="n">
        <f aca="false">IF(OR(AI5="",AJ5=""),"",AI5-AJ5)</f>
        <v>0.754529266877407</v>
      </c>
      <c r="AL5" s="23" t="n">
        <f aca="false">IF(OR(AI5="",AJ5="",AJ5=0),"",AI5/AJ5-1)</f>
        <v>0.0783676346819311</v>
      </c>
      <c r="AM5" s="23" t="n">
        <v>0</v>
      </c>
      <c r="AN5" s="23"/>
      <c r="AO5" s="23" t="s">
        <v>191</v>
      </c>
      <c r="AP5" s="23" t="s">
        <v>183</v>
      </c>
    </row>
    <row r="6" customFormat="false" ht="15" hidden="false" customHeight="false" outlineLevel="0" collapsed="false">
      <c r="A6" s="23" t="n">
        <v>4</v>
      </c>
      <c r="B6" s="23" t="n">
        <v>2</v>
      </c>
      <c r="C6" s="23" t="n">
        <v>23</v>
      </c>
      <c r="D6" s="23" t="s">
        <v>157</v>
      </c>
      <c r="E6" s="23" t="s">
        <v>171</v>
      </c>
      <c r="F6" s="23" t="s">
        <v>172</v>
      </c>
      <c r="G6" s="23" t="s">
        <v>192</v>
      </c>
      <c r="H6" s="23" t="s">
        <v>174</v>
      </c>
      <c r="I6" s="23" t="s">
        <v>175</v>
      </c>
      <c r="J6" s="23" t="n">
        <v>46249.8678689815</v>
      </c>
      <c r="K6" s="23" t="n">
        <v>1</v>
      </c>
      <c r="L6" s="23" t="n">
        <v>3</v>
      </c>
      <c r="M6" s="23" t="n">
        <f aca="false">IF(OR(K6="",L6=""),"",K6*L6*3)</f>
        <v>9</v>
      </c>
      <c r="N6" s="23" t="s">
        <v>176</v>
      </c>
      <c r="O6" s="23" t="n">
        <v>9.180751</v>
      </c>
      <c r="P6" s="23" t="n">
        <v>8.916605</v>
      </c>
      <c r="Q6" s="23" t="n">
        <v>10.022683</v>
      </c>
      <c r="R6" s="23" t="s">
        <v>164</v>
      </c>
      <c r="S6" s="23" t="s">
        <v>193</v>
      </c>
      <c r="T6" s="23" t="s">
        <v>18</v>
      </c>
      <c r="U6" s="23" t="s">
        <v>178</v>
      </c>
      <c r="V6" s="23" t="s">
        <v>194</v>
      </c>
      <c r="W6" s="23" t="s">
        <v>195</v>
      </c>
      <c r="X6" s="23" t="n">
        <v>9.874782</v>
      </c>
      <c r="Y6" s="23" t="n">
        <f aca="false">IF(OR(Q6="",X6=""),"",Q6-X6)</f>
        <v>0.147901000000001</v>
      </c>
      <c r="Z6" s="23" t="n">
        <f aca="false">IF(OR(Q6="",X6="",X6=0),"",Q6/X6-1)</f>
        <v>0.0149776471014753</v>
      </c>
      <c r="AA6" s="23" t="n">
        <v>8.610077</v>
      </c>
      <c r="AB6" s="23" t="n">
        <v>8.738299</v>
      </c>
      <c r="AC6" s="23" t="n">
        <v>9.826388</v>
      </c>
      <c r="AD6" s="23" t="n">
        <v>8.895737</v>
      </c>
      <c r="AE6" s="23" t="n">
        <f aca="false">IF(OR(AC6="",AD6=""),"",AC6-AD6)</f>
        <v>0.930650999999999</v>
      </c>
      <c r="AF6" s="23" t="n">
        <f aca="false">IF(OR(AC6="",AD6="",AD6=0),"",AC6/AD6-1)</f>
        <v>0.104617638763376</v>
      </c>
      <c r="AG6" s="23" t="n">
        <v>9.495428</v>
      </c>
      <c r="AH6" s="23" t="n">
        <v>9.008515</v>
      </c>
      <c r="AI6" s="23" t="n">
        <v>10.123801</v>
      </c>
      <c r="AJ6" s="23" t="n">
        <v>10.449825</v>
      </c>
      <c r="AK6" s="23" t="n">
        <f aca="false">IF(OR(AI6="",AJ6=""),"",AI6-AJ6)</f>
        <v>-0.326024</v>
      </c>
      <c r="AL6" s="23" t="n">
        <f aca="false">IF(OR(AI6="",AJ6="",AJ6=0),"",AI6/AJ6-1)</f>
        <v>-0.031198991370669</v>
      </c>
      <c r="AM6" s="23" t="n">
        <v>0</v>
      </c>
      <c r="AN6" s="23" t="s">
        <v>181</v>
      </c>
      <c r="AO6" s="23" t="s">
        <v>196</v>
      </c>
      <c r="AP6" s="23" t="s">
        <v>183</v>
      </c>
    </row>
    <row r="7" customFormat="false" ht="15" hidden="false" customHeight="false" outlineLevel="0" collapsed="false">
      <c r="A7" s="23" t="n">
        <v>5</v>
      </c>
      <c r="B7" s="23" t="n">
        <v>5</v>
      </c>
      <c r="C7" s="23" t="n">
        <v>30</v>
      </c>
      <c r="D7" s="23" t="s">
        <v>157</v>
      </c>
      <c r="E7" s="23" t="s">
        <v>158</v>
      </c>
      <c r="F7" s="23" t="s">
        <v>159</v>
      </c>
      <c r="G7" s="23" t="s">
        <v>197</v>
      </c>
      <c r="H7" s="23" t="s">
        <v>161</v>
      </c>
      <c r="I7" s="23" t="s">
        <v>162</v>
      </c>
      <c r="J7" s="23" t="n">
        <v>46250.5612850694</v>
      </c>
      <c r="K7" s="23" t="n">
        <v>1</v>
      </c>
      <c r="L7" s="23" t="n">
        <v>3</v>
      </c>
      <c r="M7" s="23" t="n">
        <f aca="false">IF(OR(K7="",L7=""),"",K7*L7*3)</f>
        <v>9</v>
      </c>
      <c r="N7" s="23" t="s">
        <v>163</v>
      </c>
      <c r="O7" s="23" t="n">
        <v>8.912328</v>
      </c>
      <c r="P7" s="23" t="n">
        <v>9.069069</v>
      </c>
      <c r="Q7" s="23" t="n">
        <v>9.947276</v>
      </c>
      <c r="R7" s="23" t="s">
        <v>164</v>
      </c>
      <c r="S7" s="23" t="s">
        <v>198</v>
      </c>
      <c r="T7" s="23" t="s">
        <v>18</v>
      </c>
      <c r="U7" s="23" t="s">
        <v>166</v>
      </c>
      <c r="V7" s="23" t="s">
        <v>199</v>
      </c>
      <c r="W7" s="23" t="s">
        <v>200</v>
      </c>
      <c r="X7" s="23" t="n">
        <v>9.596545</v>
      </c>
      <c r="Y7" s="23" t="n">
        <f aca="false">IF(OR(Q7="",X7=""),"",Q7-X7)</f>
        <v>0.350731</v>
      </c>
      <c r="Z7" s="23" t="n">
        <f aca="false">IF(OR(Q7="",X7="",X7=0),"",Q7/X7-1)</f>
        <v>0.0365476325073242</v>
      </c>
      <c r="AA7" s="23" t="n">
        <v>8.33506901906941</v>
      </c>
      <c r="AB7" s="23" t="n">
        <v>8.78453847278767</v>
      </c>
      <c r="AC7" s="23" t="n">
        <v>9.66521378906832</v>
      </c>
      <c r="AD7" s="23" t="n">
        <v>8.46428544862225</v>
      </c>
      <c r="AE7" s="23" t="n">
        <f aca="false">IF(OR(AC7="",AD7=""),"",AC7-AD7)</f>
        <v>1.20092834044608</v>
      </c>
      <c r="AF7" s="23" t="n">
        <f aca="false">IF(OR(AC7="",AD7="",AD7=0),"",AC7/AD7-1)</f>
        <v>0.141881833704174</v>
      </c>
      <c r="AG7" s="23" t="n">
        <v>9.2320179805398</v>
      </c>
      <c r="AH7" s="23" t="n">
        <v>9.2183599868082</v>
      </c>
      <c r="AI7" s="23" t="n">
        <v>10.0945722217644</v>
      </c>
      <c r="AJ7" s="23" t="n">
        <v>10.2844123721585</v>
      </c>
      <c r="AK7" s="23" t="n">
        <f aca="false">IF(OR(AI7="",AJ7=""),"",AI7-AJ7)</f>
        <v>-0.189840150394085</v>
      </c>
      <c r="AL7" s="23" t="n">
        <f aca="false">IF(OR(AI7="",AJ7="",AJ7=0),"",AI7/AJ7-1)</f>
        <v>-0.018459017737174</v>
      </c>
      <c r="AM7" s="23" t="n">
        <v>0</v>
      </c>
      <c r="AN7" s="23" t="s">
        <v>169</v>
      </c>
      <c r="AO7" s="23" t="s">
        <v>201</v>
      </c>
      <c r="AP7" s="23" t="s">
        <v>80</v>
      </c>
    </row>
    <row r="8" customFormat="false" ht="15" hidden="false" customHeight="false" outlineLevel="0" collapsed="false">
      <c r="A8" s="23" t="n">
        <v>6</v>
      </c>
      <c r="B8" s="23" t="n">
        <v>27</v>
      </c>
      <c r="C8" s="23" t="n">
        <v>1</v>
      </c>
      <c r="D8" s="23" t="s">
        <v>157</v>
      </c>
      <c r="E8" s="23" t="s">
        <v>171</v>
      </c>
      <c r="F8" s="23" t="s">
        <v>172</v>
      </c>
      <c r="G8" s="23" t="s">
        <v>202</v>
      </c>
      <c r="H8" s="23" t="s">
        <v>174</v>
      </c>
      <c r="I8" s="23" t="s">
        <v>175</v>
      </c>
      <c r="J8" s="23" t="n">
        <v>46249.8515060301</v>
      </c>
      <c r="K8" s="23" t="n">
        <v>1</v>
      </c>
      <c r="L8" s="23" t="n">
        <v>3</v>
      </c>
      <c r="M8" s="23" t="n">
        <f aca="false">IF(OR(K8="",L8=""),"",K8*L8*3)</f>
        <v>9</v>
      </c>
      <c r="N8" s="23" t="s">
        <v>176</v>
      </c>
      <c r="O8" s="23" t="n">
        <v>9.179253</v>
      </c>
      <c r="P8" s="23" t="n">
        <v>8.776885</v>
      </c>
      <c r="Q8" s="23" t="n">
        <v>9.881019</v>
      </c>
      <c r="R8" s="23" t="s">
        <v>164</v>
      </c>
      <c r="S8" s="23" t="s">
        <v>203</v>
      </c>
      <c r="T8" s="23" t="s">
        <v>18</v>
      </c>
      <c r="U8" s="23" t="s">
        <v>178</v>
      </c>
      <c r="V8" s="23" t="s">
        <v>204</v>
      </c>
      <c r="W8" s="23" t="s">
        <v>205</v>
      </c>
      <c r="X8" s="23" t="n">
        <v>9.874782</v>
      </c>
      <c r="Y8" s="23" t="n">
        <f aca="false">IF(OR(Q8="",X8=""),"",Q8-X8)</f>
        <v>0.00623700000000049</v>
      </c>
      <c r="Z8" s="23" t="n">
        <f aca="false">IF(OR(Q8="",X8="",X8=0),"",Q8/X8-1)</f>
        <v>0.00063160888007463</v>
      </c>
      <c r="AA8" s="23" t="n">
        <v>8.726784</v>
      </c>
      <c r="AB8" s="23" t="n">
        <v>7.871696</v>
      </c>
      <c r="AC8" s="23" t="n">
        <v>8.858562</v>
      </c>
      <c r="AD8" s="23" t="n">
        <v>8.895737</v>
      </c>
      <c r="AE8" s="23" t="n">
        <f aca="false">IF(OR(AC8="",AD8=""),"",AC8-AD8)</f>
        <v>-0.0371750000000013</v>
      </c>
      <c r="AF8" s="23" t="n">
        <f aca="false">IF(OR(AC8="",AD8="",AD8=0),"",AC8/AD8-1)</f>
        <v>-0.00417896797083828</v>
      </c>
      <c r="AG8" s="23" t="n">
        <v>9.423551</v>
      </c>
      <c r="AH8" s="23" t="n">
        <v>9.31231</v>
      </c>
      <c r="AI8" s="23" t="n">
        <v>10.486178</v>
      </c>
      <c r="AJ8" s="23" t="n">
        <v>10.449825</v>
      </c>
      <c r="AK8" s="23" t="n">
        <f aca="false">IF(OR(AI8="",AJ8=""),"",AI8-AJ8)</f>
        <v>0.0363530000000001</v>
      </c>
      <c r="AL8" s="23" t="n">
        <f aca="false">IF(OR(AI8="",AJ8="",AJ8=0),"",AI8/AJ8-1)</f>
        <v>0.00347881423851604</v>
      </c>
      <c r="AM8" s="23" t="n">
        <v>0</v>
      </c>
      <c r="AN8" s="23"/>
      <c r="AO8" s="23" t="s">
        <v>206</v>
      </c>
      <c r="AP8" s="23" t="s">
        <v>183</v>
      </c>
    </row>
    <row r="9" customFormat="false" ht="15" hidden="false" customHeight="false" outlineLevel="0" collapsed="false">
      <c r="A9" s="23" t="n">
        <v>7</v>
      </c>
      <c r="B9" s="23" t="n">
        <v>22</v>
      </c>
      <c r="C9" s="23" t="n">
        <v>3</v>
      </c>
      <c r="D9" s="23" t="s">
        <v>157</v>
      </c>
      <c r="E9" s="23" t="s">
        <v>171</v>
      </c>
      <c r="F9" s="23" t="s">
        <v>172</v>
      </c>
      <c r="G9" s="23" t="s">
        <v>176</v>
      </c>
      <c r="H9" s="23" t="s">
        <v>174</v>
      </c>
      <c r="I9" s="23" t="s">
        <v>175</v>
      </c>
      <c r="J9" s="23" t="n">
        <v>46249.8457941435</v>
      </c>
      <c r="K9" s="23" t="n">
        <v>1</v>
      </c>
      <c r="L9" s="23" t="n">
        <v>3</v>
      </c>
      <c r="M9" s="23" t="n">
        <f aca="false">IF(OR(K9="",L9=""),"",K9*L9*3)</f>
        <v>9</v>
      </c>
      <c r="N9" s="23" t="s">
        <v>176</v>
      </c>
      <c r="O9" s="23" t="n">
        <v>9.059945</v>
      </c>
      <c r="P9" s="23" t="n">
        <v>8.283908</v>
      </c>
      <c r="Q9" s="23" t="n">
        <v>9.874782</v>
      </c>
      <c r="R9" s="23" t="s">
        <v>164</v>
      </c>
      <c r="S9" s="23" t="s">
        <v>132</v>
      </c>
      <c r="T9" s="23" t="s">
        <v>18</v>
      </c>
      <c r="U9" s="23" t="s">
        <v>178</v>
      </c>
      <c r="V9" s="23" t="s">
        <v>207</v>
      </c>
      <c r="W9" s="23" t="s">
        <v>207</v>
      </c>
      <c r="X9" s="23" t="n">
        <v>9.874782</v>
      </c>
      <c r="Y9" s="23" t="n">
        <f aca="false">IF(OR(Q9="",X9=""),"",Q9-X9)</f>
        <v>0</v>
      </c>
      <c r="Z9" s="23" t="n">
        <f aca="false">IF(OR(Q9="",X9="",X9=0),"",Q9/X9-1)</f>
        <v>0</v>
      </c>
      <c r="AA9" s="23" t="n">
        <v>8.455706</v>
      </c>
      <c r="AB9" s="23" t="n">
        <v>7.539405</v>
      </c>
      <c r="AC9" s="23" t="n">
        <v>8.895737</v>
      </c>
      <c r="AD9" s="23" t="n">
        <v>8.895737</v>
      </c>
      <c r="AE9" s="23" t="n">
        <f aca="false">IF(OR(AC9="",AD9=""),"",AC9-AD9)</f>
        <v>0</v>
      </c>
      <c r="AF9" s="23" t="n">
        <f aca="false">IF(OR(AC9="",AD9="",AD9=0),"",AC9/AD9-1)</f>
        <v>0</v>
      </c>
      <c r="AG9" s="23" t="n">
        <v>9.395648</v>
      </c>
      <c r="AH9" s="23" t="n">
        <v>8.714163</v>
      </c>
      <c r="AI9" s="23" t="n">
        <v>10.449825</v>
      </c>
      <c r="AJ9" s="23" t="n">
        <v>10.449825</v>
      </c>
      <c r="AK9" s="23" t="n">
        <f aca="false">IF(OR(AI9="",AJ9=""),"",AI9-AJ9)</f>
        <v>0</v>
      </c>
      <c r="AL9" s="23" t="n">
        <f aca="false">IF(OR(AI9="",AJ9="",AJ9=0),"",AI9/AJ9-1)</f>
        <v>0</v>
      </c>
      <c r="AM9" s="23" t="n">
        <v>0</v>
      </c>
      <c r="AN9" s="23"/>
      <c r="AO9" s="23" t="s">
        <v>208</v>
      </c>
      <c r="AP9" s="23" t="s">
        <v>183</v>
      </c>
    </row>
    <row r="10" customFormat="false" ht="15" hidden="false" customHeight="false" outlineLevel="0" collapsed="false">
      <c r="A10" s="23" t="n">
        <v>8</v>
      </c>
      <c r="B10" s="23" t="n">
        <v>9</v>
      </c>
      <c r="C10" s="23" t="n">
        <v>29</v>
      </c>
      <c r="D10" s="23" t="s">
        <v>157</v>
      </c>
      <c r="E10" s="23" t="s">
        <v>158</v>
      </c>
      <c r="F10" s="23" t="s">
        <v>159</v>
      </c>
      <c r="G10" s="23" t="s">
        <v>209</v>
      </c>
      <c r="H10" s="23" t="s">
        <v>161</v>
      </c>
      <c r="I10" s="23" t="s">
        <v>162</v>
      </c>
      <c r="J10" s="23" t="n">
        <v>46250.5521374074</v>
      </c>
      <c r="K10" s="23" t="n">
        <v>1</v>
      </c>
      <c r="L10" s="23" t="n">
        <v>3</v>
      </c>
      <c r="M10" s="23" t="n">
        <f aca="false">IF(OR(K10="",L10=""),"",K10*L10*3)</f>
        <v>9</v>
      </c>
      <c r="N10" s="23" t="s">
        <v>163</v>
      </c>
      <c r="O10" s="23" t="n">
        <v>8.665356</v>
      </c>
      <c r="P10" s="23" t="n">
        <v>7.915935</v>
      </c>
      <c r="Q10" s="23" t="n">
        <v>9.865155</v>
      </c>
      <c r="R10" s="23" t="s">
        <v>164</v>
      </c>
      <c r="S10" s="23" t="s">
        <v>210</v>
      </c>
      <c r="T10" s="23" t="s">
        <v>18</v>
      </c>
      <c r="U10" s="23" t="s">
        <v>166</v>
      </c>
      <c r="V10" s="23" t="s">
        <v>211</v>
      </c>
      <c r="W10" s="23" t="s">
        <v>212</v>
      </c>
      <c r="X10" s="23" t="n">
        <v>9.596545</v>
      </c>
      <c r="Y10" s="23" t="n">
        <f aca="false">IF(OR(Q10="",X10=""),"",Q10-X10)</f>
        <v>0.268609999999999</v>
      </c>
      <c r="Z10" s="23" t="n">
        <f aca="false">IF(OR(Q10="",X10="",X10=0),"",Q10/X10-1)</f>
        <v>0.0279902819191697</v>
      </c>
      <c r="AA10" s="23" t="n">
        <v>8.59472292701071</v>
      </c>
      <c r="AB10" s="23" t="n">
        <v>7.5925799352173</v>
      </c>
      <c r="AC10" s="23" t="n">
        <v>9.41356763176561</v>
      </c>
      <c r="AD10" s="23" t="n">
        <v>8.46428544862225</v>
      </c>
      <c r="AE10" s="23" t="n">
        <f aca="false">IF(OR(AC10="",AD10=""),"",AC10-AD10)</f>
        <v>0.949282183143362</v>
      </c>
      <c r="AF10" s="23" t="n">
        <f aca="false">IF(OR(AC10="",AD10="",AD10=0),"",AC10/AD10-1)</f>
        <v>0.112151485072834</v>
      </c>
      <c r="AG10" s="23" t="n">
        <v>8.70110975902984</v>
      </c>
      <c r="AH10" s="23" t="n">
        <v>8.08816505255229</v>
      </c>
      <c r="AI10" s="23" t="n">
        <v>10.1075957845768</v>
      </c>
      <c r="AJ10" s="23" t="n">
        <v>10.2844123721585</v>
      </c>
      <c r="AK10" s="23" t="n">
        <f aca="false">IF(OR(AI10="",AJ10=""),"",AI10-AJ10)</f>
        <v>-0.176816587581643</v>
      </c>
      <c r="AL10" s="23" t="n">
        <f aca="false">IF(OR(AI10="",AJ10="",AJ10=0),"",AI10/AJ10-1)</f>
        <v>-0.0171926777324014</v>
      </c>
      <c r="AM10" s="23" t="n">
        <v>0</v>
      </c>
      <c r="AN10" s="23" t="s">
        <v>169</v>
      </c>
      <c r="AO10" s="23" t="s">
        <v>213</v>
      </c>
      <c r="AP10" s="23" t="s">
        <v>80</v>
      </c>
    </row>
    <row r="11" customFormat="false" ht="15" hidden="false" customHeight="false" outlineLevel="0" collapsed="false">
      <c r="A11" s="23" t="n">
        <v>9</v>
      </c>
      <c r="B11" s="23" t="n">
        <v>28</v>
      </c>
      <c r="C11" s="23" t="n">
        <v>2</v>
      </c>
      <c r="D11" s="23" t="s">
        <v>157</v>
      </c>
      <c r="E11" s="23" t="s">
        <v>184</v>
      </c>
      <c r="F11" s="23" t="s">
        <v>185</v>
      </c>
      <c r="G11" s="23" t="s">
        <v>214</v>
      </c>
      <c r="H11" s="23" t="s">
        <v>174</v>
      </c>
      <c r="I11" s="23" t="s">
        <v>175</v>
      </c>
      <c r="J11" s="23" t="n">
        <v>46249.8298048148</v>
      </c>
      <c r="K11" s="23" t="n">
        <v>1</v>
      </c>
      <c r="L11" s="23" t="n">
        <v>3</v>
      </c>
      <c r="M11" s="23" t="n">
        <f aca="false">IF(OR(K11="",L11=""),"",K11*L11*3)</f>
        <v>9</v>
      </c>
      <c r="N11" s="23" t="s">
        <v>187</v>
      </c>
      <c r="O11" s="23" t="n">
        <v>8.678552</v>
      </c>
      <c r="P11" s="23" t="n">
        <v>8.454385</v>
      </c>
      <c r="Q11" s="23" t="n">
        <v>9.860054</v>
      </c>
      <c r="R11" s="23" t="s">
        <v>164</v>
      </c>
      <c r="S11" s="23" t="s">
        <v>215</v>
      </c>
      <c r="T11" s="23" t="s">
        <v>18</v>
      </c>
      <c r="U11" s="23" t="s">
        <v>178</v>
      </c>
      <c r="V11" s="23" t="s">
        <v>216</v>
      </c>
      <c r="W11" s="23" t="s">
        <v>217</v>
      </c>
      <c r="X11" s="23" t="n">
        <v>9.128501</v>
      </c>
      <c r="Y11" s="23" t="n">
        <f aca="false">IF(OR(Q11="",X11=""),"",Q11-X11)</f>
        <v>0.731553</v>
      </c>
      <c r="Z11" s="23" t="n">
        <f aca="false">IF(OR(Q11="",X11="",X11=0),"",Q11/X11-1)</f>
        <v>0.0801394445813173</v>
      </c>
      <c r="AA11" s="23" t="n">
        <v>8.3509035481524</v>
      </c>
      <c r="AB11" s="23" t="n">
        <v>7.6632853392273</v>
      </c>
      <c r="AC11" s="23" t="n">
        <v>8.84795534787137</v>
      </c>
      <c r="AD11" s="23" t="n">
        <v>8.27026407471985</v>
      </c>
      <c r="AE11" s="23" t="n">
        <f aca="false">IF(OR(AC11="",AD11=""),"",AC11-AD11)</f>
        <v>0.577691273151515</v>
      </c>
      <c r="AF11" s="23" t="n">
        <f aca="false">IF(OR(AC11="",AD11="",AD11=0),"",AC11/AD11-1)</f>
        <v>0.0698516115002148</v>
      </c>
      <c r="AG11" s="23" t="n">
        <v>8.85221008546467</v>
      </c>
      <c r="AH11" s="23" t="n">
        <v>8.91451948966582</v>
      </c>
      <c r="AI11" s="23" t="n">
        <v>10.4581990326701</v>
      </c>
      <c r="AJ11" s="23" t="n">
        <v>9.62807248093933</v>
      </c>
      <c r="AK11" s="23" t="n">
        <f aca="false">IF(OR(AI11="",AJ11=""),"",AI11-AJ11)</f>
        <v>0.830126551730766</v>
      </c>
      <c r="AL11" s="23" t="n">
        <f aca="false">IF(OR(AI11="",AJ11="",AJ11=0),"",AI11/AJ11-1)</f>
        <v>0.0862193916149017</v>
      </c>
      <c r="AM11" s="23" t="n">
        <v>0</v>
      </c>
      <c r="AN11" s="23"/>
      <c r="AO11" s="23" t="s">
        <v>218</v>
      </c>
      <c r="AP11" s="23" t="s">
        <v>183</v>
      </c>
    </row>
    <row r="12" customFormat="false" ht="15" hidden="false" customHeight="false" outlineLevel="0" collapsed="false">
      <c r="A12" s="23" t="n">
        <v>10</v>
      </c>
      <c r="B12" s="23" t="n">
        <v>8</v>
      </c>
      <c r="C12" s="23" t="n">
        <v>34</v>
      </c>
      <c r="D12" s="23" t="s">
        <v>157</v>
      </c>
      <c r="E12" s="23" t="s">
        <v>219</v>
      </c>
      <c r="F12" s="23" t="s">
        <v>220</v>
      </c>
      <c r="G12" s="23" t="s">
        <v>221</v>
      </c>
      <c r="H12" s="23" t="s">
        <v>174</v>
      </c>
      <c r="I12" s="23" t="s">
        <v>162</v>
      </c>
      <c r="J12" s="23" t="n">
        <v>46250.3245914005</v>
      </c>
      <c r="K12" s="23" t="n">
        <v>1</v>
      </c>
      <c r="L12" s="23" t="n">
        <v>3</v>
      </c>
      <c r="M12" s="23" t="n">
        <f aca="false">IF(OR(K12="",L12=""),"",K12*L12*3)</f>
        <v>9</v>
      </c>
      <c r="N12" s="23" t="s">
        <v>222</v>
      </c>
      <c r="O12" s="23" t="n">
        <v>8.606112</v>
      </c>
      <c r="P12" s="23" t="n">
        <v>8.507457</v>
      </c>
      <c r="Q12" s="23" t="n">
        <v>9.853225</v>
      </c>
      <c r="R12" s="23" t="s">
        <v>164</v>
      </c>
      <c r="S12" s="23" t="s">
        <v>223</v>
      </c>
      <c r="T12" s="23" t="s">
        <v>18</v>
      </c>
      <c r="U12" s="23" t="s">
        <v>224</v>
      </c>
      <c r="V12" s="23" t="s">
        <v>225</v>
      </c>
      <c r="W12" s="23" t="s">
        <v>226</v>
      </c>
      <c r="X12" s="23" t="n">
        <v>9.758152</v>
      </c>
      <c r="Y12" s="23" t="n">
        <f aca="false">IF(OR(Q12="",X12=""),"",Q12-X12)</f>
        <v>0.0950729999999993</v>
      </c>
      <c r="Z12" s="23" t="n">
        <f aca="false">IF(OR(Q12="",X12="",X12=0),"",Q12/X12-1)</f>
        <v>0.00974293083362499</v>
      </c>
      <c r="AA12" s="23" t="n">
        <v>8.370551</v>
      </c>
      <c r="AB12" s="23" t="n">
        <v>7.924559</v>
      </c>
      <c r="AC12" s="23" t="n">
        <v>9.517138</v>
      </c>
      <c r="AD12" s="23" t="n">
        <v>8.74138</v>
      </c>
      <c r="AE12" s="23" t="n">
        <f aca="false">IF(OR(AC12="",AD12=""),"",AC12-AD12)</f>
        <v>0.775758</v>
      </c>
      <c r="AF12" s="23" t="n">
        <f aca="false">IF(OR(AC12="",AD12="",AD12=0),"",AC12/AD12-1)</f>
        <v>0.0887454841226443</v>
      </c>
      <c r="AG12" s="23" t="n">
        <v>8.728935</v>
      </c>
      <c r="AH12" s="23" t="n">
        <v>8.832291</v>
      </c>
      <c r="AI12" s="23" t="n">
        <v>10.030329</v>
      </c>
      <c r="AJ12" s="23" t="n">
        <v>10.360716</v>
      </c>
      <c r="AK12" s="23" t="n">
        <f aca="false">IF(OR(AI12="",AJ12=""),"",AI12-AJ12)</f>
        <v>-0.330387</v>
      </c>
      <c r="AL12" s="23" t="n">
        <f aca="false">IF(OR(AI12="",AJ12="",AJ12=0),"",AI12/AJ12-1)</f>
        <v>-0.0318884331932272</v>
      </c>
      <c r="AM12" s="23" t="n">
        <v>0</v>
      </c>
      <c r="AN12" s="23"/>
      <c r="AO12" s="23" t="s">
        <v>227</v>
      </c>
      <c r="AP12" s="23" t="s">
        <v>71</v>
      </c>
    </row>
    <row r="13" customFormat="false" ht="15" hidden="false" customHeight="false" outlineLevel="0" collapsed="false">
      <c r="A13" s="23" t="n">
        <v>11</v>
      </c>
      <c r="B13" s="23" t="n">
        <v>6</v>
      </c>
      <c r="C13" s="23" t="n">
        <v>35</v>
      </c>
      <c r="D13" s="23" t="s">
        <v>157</v>
      </c>
      <c r="E13" s="23" t="s">
        <v>158</v>
      </c>
      <c r="F13" s="23" t="s">
        <v>159</v>
      </c>
      <c r="G13" s="23" t="s">
        <v>228</v>
      </c>
      <c r="H13" s="23" t="s">
        <v>161</v>
      </c>
      <c r="I13" s="23" t="s">
        <v>162</v>
      </c>
      <c r="J13" s="23" t="n">
        <v>46250.4791361227</v>
      </c>
      <c r="K13" s="23" t="n">
        <v>1</v>
      </c>
      <c r="L13" s="23" t="n">
        <v>3</v>
      </c>
      <c r="M13" s="23" t="n">
        <f aca="false">IF(OR(K13="",L13=""),"",K13*L13*3)</f>
        <v>9</v>
      </c>
      <c r="N13" s="23" t="s">
        <v>163</v>
      </c>
      <c r="O13" s="23" t="n">
        <v>8.869262</v>
      </c>
      <c r="P13" s="23" t="n">
        <v>8.489412</v>
      </c>
      <c r="Q13" s="23" t="n">
        <v>9.840201</v>
      </c>
      <c r="R13" s="23" t="s">
        <v>164</v>
      </c>
      <c r="S13" s="23" t="s">
        <v>74</v>
      </c>
      <c r="T13" s="23" t="s">
        <v>18</v>
      </c>
      <c r="U13" s="23" t="s">
        <v>166</v>
      </c>
      <c r="V13" s="23" t="s">
        <v>229</v>
      </c>
      <c r="W13" s="23" t="s">
        <v>230</v>
      </c>
      <c r="X13" s="23" t="n">
        <v>9.596545</v>
      </c>
      <c r="Y13" s="23" t="n">
        <f aca="false">IF(OR(Q13="",X13=""),"",Q13-X13)</f>
        <v>0.243656</v>
      </c>
      <c r="Z13" s="23" t="n">
        <f aca="false">IF(OR(Q13="",X13="",X13=0),"",Q13/X13-1)</f>
        <v>0.0253899710781327</v>
      </c>
      <c r="AA13" s="23" t="n">
        <v>8.40723178359092</v>
      </c>
      <c r="AB13" s="23" t="n">
        <v>7.85268703307181</v>
      </c>
      <c r="AC13" s="23" t="n">
        <v>9.56468476816528</v>
      </c>
      <c r="AD13" s="23" t="n">
        <v>8.46428544862225</v>
      </c>
      <c r="AE13" s="23" t="n">
        <f aca="false">IF(OR(AC13="",AD13=""),"",AC13-AD13)</f>
        <v>1.10039931954304</v>
      </c>
      <c r="AF13" s="23" t="n">
        <f aca="false">IF(OR(AC13="",AD13="",AD13=0),"",AC13/AD13-1)</f>
        <v>0.130004986979988</v>
      </c>
      <c r="AG13" s="23" t="n">
        <v>9.11985880779765</v>
      </c>
      <c r="AH13" s="23" t="n">
        <v>8.8481313602142</v>
      </c>
      <c r="AI13" s="23" t="n">
        <v>9.98399841928507</v>
      </c>
      <c r="AJ13" s="23" t="n">
        <v>10.2844123721585</v>
      </c>
      <c r="AK13" s="23" t="n">
        <f aca="false">IF(OR(AI13="",AJ13=""),"",AI13-AJ13)</f>
        <v>-0.300413952873413</v>
      </c>
      <c r="AL13" s="23" t="n">
        <f aca="false">IF(OR(AI13="",AJ13="",AJ13=0),"",AI13/AJ13-1)</f>
        <v>-0.0292106094157291</v>
      </c>
      <c r="AM13" s="23" t="n">
        <v>0</v>
      </c>
      <c r="AN13" s="23" t="s">
        <v>169</v>
      </c>
      <c r="AO13" s="23" t="s">
        <v>231</v>
      </c>
      <c r="AP13" s="23" t="s">
        <v>80</v>
      </c>
    </row>
    <row r="14" customFormat="false" ht="15" hidden="false" customHeight="false" outlineLevel="0" collapsed="false">
      <c r="A14" s="23" t="n">
        <v>12</v>
      </c>
      <c r="B14" s="23" t="n">
        <v>29</v>
      </c>
      <c r="C14" s="23" t="n">
        <v>4</v>
      </c>
      <c r="D14" s="23" t="s">
        <v>157</v>
      </c>
      <c r="E14" s="23" t="s">
        <v>171</v>
      </c>
      <c r="F14" s="23" t="s">
        <v>172</v>
      </c>
      <c r="G14" s="23" t="s">
        <v>232</v>
      </c>
      <c r="H14" s="23" t="s">
        <v>174</v>
      </c>
      <c r="I14" s="23" t="s">
        <v>175</v>
      </c>
      <c r="J14" s="23" t="n">
        <v>46249.8543011574</v>
      </c>
      <c r="K14" s="23" t="n">
        <v>1</v>
      </c>
      <c r="L14" s="23" t="n">
        <v>3</v>
      </c>
      <c r="M14" s="23" t="n">
        <f aca="false">IF(OR(K14="",L14=""),"",K14*L14*3)</f>
        <v>9</v>
      </c>
      <c r="N14" s="23" t="s">
        <v>176</v>
      </c>
      <c r="O14" s="23" t="n">
        <v>9.13587</v>
      </c>
      <c r="P14" s="23" t="n">
        <v>8.810422</v>
      </c>
      <c r="Q14" s="23" t="n">
        <v>9.814388</v>
      </c>
      <c r="R14" s="23" t="s">
        <v>164</v>
      </c>
      <c r="S14" s="23" t="s">
        <v>203</v>
      </c>
      <c r="T14" s="23" t="s">
        <v>18</v>
      </c>
      <c r="U14" s="23" t="s">
        <v>178</v>
      </c>
      <c r="V14" s="23" t="s">
        <v>204</v>
      </c>
      <c r="W14" s="23" t="s">
        <v>233</v>
      </c>
      <c r="X14" s="23" t="n">
        <v>9.874782</v>
      </c>
      <c r="Y14" s="23" t="n">
        <f aca="false">IF(OR(Q14="",X14=""),"",Q14-X14)</f>
        <v>-0.0603940000000005</v>
      </c>
      <c r="Z14" s="23" t="n">
        <f aca="false">IF(OR(Q14="",X14="",X14=0),"",Q14/X14-1)</f>
        <v>-0.00611598311739947</v>
      </c>
      <c r="AA14" s="23" t="n">
        <v>8.751197</v>
      </c>
      <c r="AB14" s="23" t="n">
        <v>7.965893</v>
      </c>
      <c r="AC14" s="23" t="n">
        <v>8.809034</v>
      </c>
      <c r="AD14" s="23" t="n">
        <v>8.895737</v>
      </c>
      <c r="AE14" s="23" t="n">
        <f aca="false">IF(OR(AC14="",AD14=""),"",AC14-AD14)</f>
        <v>-0.086703</v>
      </c>
      <c r="AF14" s="23" t="n">
        <f aca="false">IF(OR(AC14="",AD14="",AD14=0),"",AC14/AD14-1)</f>
        <v>-0.00974657861400352</v>
      </c>
      <c r="AG14" s="23" t="n">
        <v>9.341173</v>
      </c>
      <c r="AH14" s="23" t="n">
        <v>9.303597</v>
      </c>
      <c r="AI14" s="23" t="n">
        <v>10.408326</v>
      </c>
      <c r="AJ14" s="23" t="n">
        <v>10.449825</v>
      </c>
      <c r="AK14" s="23" t="n">
        <f aca="false">IF(OR(AI14="",AJ14=""),"",AI14-AJ14)</f>
        <v>-0.041499</v>
      </c>
      <c r="AL14" s="23" t="n">
        <f aca="false">IF(OR(AI14="",AJ14="",AJ14=0),"",AI14/AJ14-1)</f>
        <v>-0.00397126267664771</v>
      </c>
      <c r="AM14" s="23" t="n">
        <v>0</v>
      </c>
      <c r="AN14" s="23"/>
      <c r="AO14" s="23" t="s">
        <v>234</v>
      </c>
      <c r="AP14" s="23" t="s">
        <v>183</v>
      </c>
    </row>
    <row r="15" customFormat="false" ht="15" hidden="false" customHeight="false" outlineLevel="0" collapsed="false">
      <c r="A15" s="23" t="n">
        <v>13</v>
      </c>
      <c r="B15" s="23" t="n">
        <v>20</v>
      </c>
      <c r="C15" s="23" t="n">
        <v>11</v>
      </c>
      <c r="D15" s="23" t="s">
        <v>157</v>
      </c>
      <c r="E15" s="23" t="s">
        <v>158</v>
      </c>
      <c r="F15" s="23" t="s">
        <v>159</v>
      </c>
      <c r="G15" s="23" t="s">
        <v>235</v>
      </c>
      <c r="H15" s="23" t="s">
        <v>161</v>
      </c>
      <c r="I15" s="23" t="s">
        <v>162</v>
      </c>
      <c r="J15" s="23" t="n">
        <v>46250.5247713426</v>
      </c>
      <c r="K15" s="23" t="n">
        <v>1</v>
      </c>
      <c r="L15" s="23" t="n">
        <v>3</v>
      </c>
      <c r="M15" s="23" t="n">
        <f aca="false">IF(OR(K15="",L15=""),"",K15*L15*3)</f>
        <v>9</v>
      </c>
      <c r="N15" s="23" t="s">
        <v>163</v>
      </c>
      <c r="O15" s="23" t="n">
        <v>8.702575</v>
      </c>
      <c r="P15" s="23" t="n">
        <v>8.698751</v>
      </c>
      <c r="Q15" s="23" t="n">
        <v>9.811234</v>
      </c>
      <c r="R15" s="23" t="s">
        <v>164</v>
      </c>
      <c r="S15" s="23" t="s">
        <v>94</v>
      </c>
      <c r="T15" s="23" t="s">
        <v>18</v>
      </c>
      <c r="U15" s="23" t="s">
        <v>166</v>
      </c>
      <c r="V15" s="23" t="s">
        <v>236</v>
      </c>
      <c r="W15" s="23" t="s">
        <v>237</v>
      </c>
      <c r="X15" s="23" t="n">
        <v>9.596545</v>
      </c>
      <c r="Y15" s="23" t="n">
        <f aca="false">IF(OR(Q15="",X15=""),"",Q15-X15)</f>
        <v>0.214689</v>
      </c>
      <c r="Z15" s="23" t="n">
        <f aca="false">IF(OR(Q15="",X15="",X15=0),"",Q15/X15-1)</f>
        <v>0.0223714889056426</v>
      </c>
      <c r="AA15" s="23" t="n">
        <v>8.39662025348162</v>
      </c>
      <c r="AB15" s="23" t="n">
        <v>8.0937264351457</v>
      </c>
      <c r="AC15" s="23" t="n">
        <v>8.93582124372443</v>
      </c>
      <c r="AD15" s="23" t="n">
        <v>8.46428544862225</v>
      </c>
      <c r="AE15" s="23" t="n">
        <f aca="false">IF(OR(AC15="",AD15=""),"",AC15-AD15)</f>
        <v>0.471535795102184</v>
      </c>
      <c r="AF15" s="23" t="n">
        <f aca="false">IF(OR(AC15="",AD15="",AD15=0),"",AC15/AD15-1)</f>
        <v>0.055708872055932</v>
      </c>
      <c r="AG15" s="23" t="n">
        <v>8.86406922901101</v>
      </c>
      <c r="AH15" s="23" t="n">
        <v>9.03650096128615</v>
      </c>
      <c r="AI15" s="23" t="n">
        <v>10.3165737629006</v>
      </c>
      <c r="AJ15" s="23" t="n">
        <v>10.2844123721585</v>
      </c>
      <c r="AK15" s="23" t="n">
        <f aca="false">IF(OR(AI15="",AJ15=""),"",AI15-AJ15)</f>
        <v>0.0321613907421181</v>
      </c>
      <c r="AL15" s="23" t="n">
        <f aca="false">IF(OR(AI15="",AJ15="",AJ15=0),"",AI15/AJ15-1)</f>
        <v>0.00312719770253311</v>
      </c>
      <c r="AM15" s="23" t="n">
        <v>0</v>
      </c>
      <c r="AN15" s="23" t="s">
        <v>169</v>
      </c>
      <c r="AO15" s="23" t="s">
        <v>238</v>
      </c>
      <c r="AP15" s="23" t="s">
        <v>80</v>
      </c>
    </row>
    <row r="16" customFormat="false" ht="15" hidden="false" customHeight="false" outlineLevel="0" collapsed="false">
      <c r="A16" s="23" t="n">
        <v>14</v>
      </c>
      <c r="B16" s="23" t="n">
        <v>25</v>
      </c>
      <c r="C16" s="23" t="n">
        <v>10</v>
      </c>
      <c r="D16" s="23" t="s">
        <v>157</v>
      </c>
      <c r="E16" s="23" t="s">
        <v>219</v>
      </c>
      <c r="F16" s="23" t="s">
        <v>220</v>
      </c>
      <c r="G16" s="23" t="s">
        <v>239</v>
      </c>
      <c r="H16" s="23" t="s">
        <v>174</v>
      </c>
      <c r="I16" s="23" t="s">
        <v>162</v>
      </c>
      <c r="J16" s="23" t="n">
        <v>46250.3330054977</v>
      </c>
      <c r="K16" s="23" t="n">
        <v>1</v>
      </c>
      <c r="L16" s="23" t="n">
        <v>3</v>
      </c>
      <c r="M16" s="23" t="n">
        <f aca="false">IF(OR(K16="",L16=""),"",K16*L16*3)</f>
        <v>9</v>
      </c>
      <c r="N16" s="23" t="s">
        <v>222</v>
      </c>
      <c r="O16" s="23" t="n">
        <v>9.103102</v>
      </c>
      <c r="P16" s="23" t="n">
        <v>8.652544</v>
      </c>
      <c r="Q16" s="23" t="n">
        <v>9.794612</v>
      </c>
      <c r="R16" s="23" t="s">
        <v>164</v>
      </c>
      <c r="S16" s="23" t="s">
        <v>240</v>
      </c>
      <c r="T16" s="23" t="s">
        <v>18</v>
      </c>
      <c r="U16" s="23" t="s">
        <v>224</v>
      </c>
      <c r="V16" s="23" t="s">
        <v>241</v>
      </c>
      <c r="W16" s="23" t="s">
        <v>242</v>
      </c>
      <c r="X16" s="23" t="n">
        <v>9.758152</v>
      </c>
      <c r="Y16" s="23" t="n">
        <f aca="false">IF(OR(Q16="",X16=""),"",Q16-X16)</f>
        <v>0.0364599999999999</v>
      </c>
      <c r="Z16" s="23" t="n">
        <f aca="false">IF(OR(Q16="",X16="",X16=0),"",Q16/X16-1)</f>
        <v>0.00373636319663806</v>
      </c>
      <c r="AA16" s="23" t="n">
        <v>8.451581</v>
      </c>
      <c r="AB16" s="23" t="n">
        <v>7.882035</v>
      </c>
      <c r="AC16" s="23" t="n">
        <v>8.866938</v>
      </c>
      <c r="AD16" s="23" t="n">
        <v>8.74138</v>
      </c>
      <c r="AE16" s="23" t="n">
        <f aca="false">IF(OR(AC16="",AD16=""),"",AC16-AD16)</f>
        <v>0.125558</v>
      </c>
      <c r="AF16" s="23" t="n">
        <f aca="false">IF(OR(AC16="",AD16="",AD16=0),"",AC16/AD16-1)</f>
        <v>0.014363635947642</v>
      </c>
      <c r="AG16" s="23" t="n">
        <v>9.468041</v>
      </c>
      <c r="AH16" s="23" t="n">
        <v>9.097192</v>
      </c>
      <c r="AI16" s="23" t="n">
        <v>10.335259</v>
      </c>
      <c r="AJ16" s="23" t="n">
        <v>10.360716</v>
      </c>
      <c r="AK16" s="23" t="n">
        <f aca="false">IF(OR(AI16="",AJ16=""),"",AI16-AJ16)</f>
        <v>-0.0254569999999994</v>
      </c>
      <c r="AL16" s="23" t="n">
        <f aca="false">IF(OR(AI16="",AJ16="",AJ16=0),"",AI16/AJ16-1)</f>
        <v>-0.00245706956932312</v>
      </c>
      <c r="AM16" s="23" t="n">
        <v>0</v>
      </c>
      <c r="AN16" s="23" t="s">
        <v>243</v>
      </c>
      <c r="AO16" s="23" t="s">
        <v>244</v>
      </c>
      <c r="AP16" s="23" t="s">
        <v>71</v>
      </c>
    </row>
    <row r="17" customFormat="false" ht="15" hidden="false" customHeight="false" outlineLevel="0" collapsed="false">
      <c r="A17" s="23" t="n">
        <v>15</v>
      </c>
      <c r="B17" s="23" t="n">
        <v>19</v>
      </c>
      <c r="C17" s="23" t="n">
        <v>16</v>
      </c>
      <c r="D17" s="23" t="s">
        <v>157</v>
      </c>
      <c r="E17" s="23" t="s">
        <v>158</v>
      </c>
      <c r="F17" s="23" t="s">
        <v>159</v>
      </c>
      <c r="G17" s="23" t="s">
        <v>245</v>
      </c>
      <c r="H17" s="23" t="s">
        <v>161</v>
      </c>
      <c r="I17" s="23" t="s">
        <v>162</v>
      </c>
      <c r="J17" s="23" t="n">
        <v>46250.5430517593</v>
      </c>
      <c r="K17" s="23" t="n">
        <v>1</v>
      </c>
      <c r="L17" s="23" t="n">
        <v>3</v>
      </c>
      <c r="M17" s="23" t="n">
        <f aca="false">IF(OR(K17="",L17=""),"",K17*L17*3)</f>
        <v>9</v>
      </c>
      <c r="N17" s="23" t="s">
        <v>163</v>
      </c>
      <c r="O17" s="23" t="n">
        <v>8.882124</v>
      </c>
      <c r="P17" s="23" t="n">
        <v>8.542204</v>
      </c>
      <c r="Q17" s="23" t="n">
        <v>9.787541</v>
      </c>
      <c r="R17" s="23" t="s">
        <v>164</v>
      </c>
      <c r="S17" s="23" t="s">
        <v>246</v>
      </c>
      <c r="T17" s="23" t="s">
        <v>18</v>
      </c>
      <c r="U17" s="23" t="s">
        <v>166</v>
      </c>
      <c r="V17" s="23" t="s">
        <v>247</v>
      </c>
      <c r="W17" s="23" t="s">
        <v>248</v>
      </c>
      <c r="X17" s="23" t="n">
        <v>9.596545</v>
      </c>
      <c r="Y17" s="23" t="n">
        <f aca="false">IF(OR(Q17="",X17=""),"",Q17-X17)</f>
        <v>0.190995999999998</v>
      </c>
      <c r="Z17" s="23" t="n">
        <f aca="false">IF(OR(Q17="",X17="",X17=0),"",Q17/X17-1)</f>
        <v>0.0199025795221091</v>
      </c>
      <c r="AA17" s="23" t="n">
        <v>8.35249000610641</v>
      </c>
      <c r="AB17" s="23" t="n">
        <v>7.85050710366633</v>
      </c>
      <c r="AC17" s="23" t="n">
        <v>8.99142651219229</v>
      </c>
      <c r="AD17" s="23" t="n">
        <v>8.46428544862225</v>
      </c>
      <c r="AE17" s="23" t="n">
        <f aca="false">IF(OR(AC17="",AD17=""),"",AC17-AD17)</f>
        <v>0.527141063570049</v>
      </c>
      <c r="AF17" s="23" t="n">
        <f aca="false">IF(OR(AC17="",AD17="",AD17=0),"",AC17/AD17-1)</f>
        <v>0.062278271068452</v>
      </c>
      <c r="AG17" s="23" t="n">
        <v>9.17295377447497</v>
      </c>
      <c r="AH17" s="23" t="n">
        <v>8.93586714116066</v>
      </c>
      <c r="AI17" s="23" t="n">
        <v>10.2409146935146</v>
      </c>
      <c r="AJ17" s="23" t="n">
        <v>10.2844123721585</v>
      </c>
      <c r="AK17" s="23" t="n">
        <f aca="false">IF(OR(AI17="",AJ17=""),"",AI17-AJ17)</f>
        <v>-0.0434976786438845</v>
      </c>
      <c r="AL17" s="23" t="n">
        <f aca="false">IF(OR(AI17="",AJ17="",AJ17=0),"",AI17/AJ17-1)</f>
        <v>-0.0042294763249322</v>
      </c>
      <c r="AM17" s="23" t="n">
        <v>0</v>
      </c>
      <c r="AN17" s="23" t="s">
        <v>169</v>
      </c>
      <c r="AO17" s="23" t="s">
        <v>249</v>
      </c>
      <c r="AP17" s="23" t="s">
        <v>80</v>
      </c>
    </row>
    <row r="18" customFormat="false" ht="15" hidden="false" customHeight="false" outlineLevel="0" collapsed="false">
      <c r="A18" s="23" t="n">
        <v>16</v>
      </c>
      <c r="B18" s="23" t="n">
        <v>47</v>
      </c>
      <c r="C18" s="23" t="n">
        <v>27</v>
      </c>
      <c r="D18" s="23" t="s">
        <v>157</v>
      </c>
      <c r="E18" s="23" t="s">
        <v>250</v>
      </c>
      <c r="F18" s="23" t="s">
        <v>251</v>
      </c>
      <c r="G18" s="23" t="s">
        <v>252</v>
      </c>
      <c r="H18" s="23" t="s">
        <v>174</v>
      </c>
      <c r="I18" s="23" t="s">
        <v>162</v>
      </c>
      <c r="J18" s="23" t="n">
        <v>46250.2862239815</v>
      </c>
      <c r="K18" s="23" t="n">
        <v>1</v>
      </c>
      <c r="L18" s="23" t="n">
        <v>5</v>
      </c>
      <c r="M18" s="23" t="n">
        <f aca="false">IF(OR(K18="",L18=""),"",K18*L18*3)</f>
        <v>15</v>
      </c>
      <c r="N18" s="23" t="s">
        <v>253</v>
      </c>
      <c r="O18" s="23" t="n">
        <v>9.007175</v>
      </c>
      <c r="P18" s="23" t="n">
        <v>6.889215</v>
      </c>
      <c r="Q18" s="23" t="n">
        <v>9.785513</v>
      </c>
      <c r="R18" s="23" t="s">
        <v>164</v>
      </c>
      <c r="S18" s="23" t="s">
        <v>254</v>
      </c>
      <c r="T18" s="23" t="s">
        <v>18</v>
      </c>
      <c r="U18" s="23" t="s">
        <v>224</v>
      </c>
      <c r="V18" s="23" t="s">
        <v>255</v>
      </c>
      <c r="W18" s="23" t="s">
        <v>256</v>
      </c>
      <c r="X18" s="23" t="n">
        <v>9.758152</v>
      </c>
      <c r="Y18" s="23" t="n">
        <f aca="false">IF(OR(Q18="",X18=""),"",Q18-X18)</f>
        <v>0.0273609999999991</v>
      </c>
      <c r="Z18" s="23" t="n">
        <f aca="false">IF(OR(Q18="",X18="",X18=0),"",Q18/X18-1)</f>
        <v>0.00280391205219988</v>
      </c>
      <c r="AA18" s="23" t="n">
        <v>8.094242</v>
      </c>
      <c r="AB18" s="23" t="n">
        <v>6.621935</v>
      </c>
      <c r="AC18" s="23" t="n">
        <v>8.668972</v>
      </c>
      <c r="AD18" s="23" t="n">
        <v>8.74138</v>
      </c>
      <c r="AE18" s="23" t="n">
        <f aca="false">IF(OR(AC18="",AD18=""),"",AC18-AD18)</f>
        <v>-0.0724079999999994</v>
      </c>
      <c r="AF18" s="23" t="n">
        <f aca="false">IF(OR(AC18="",AD18="",AD18=0),"",AC18/AD18-1)</f>
        <v>-0.00828336029322596</v>
      </c>
      <c r="AG18" s="23" t="n">
        <v>9.268519</v>
      </c>
      <c r="AH18" s="23" t="n">
        <v>6.95944</v>
      </c>
      <c r="AI18" s="23" t="n">
        <v>10.111083</v>
      </c>
      <c r="AJ18" s="23" t="n">
        <v>10.360716</v>
      </c>
      <c r="AK18" s="23" t="n">
        <f aca="false">IF(OR(AI18="",AJ18=""),"",AI18-AJ18)</f>
        <v>-0.249632999999999</v>
      </c>
      <c r="AL18" s="23" t="n">
        <f aca="false">IF(OR(AI18="",AJ18="",AJ18=0),"",AI18/AJ18-1)</f>
        <v>-0.0240941842243335</v>
      </c>
      <c r="AM18" s="23" t="n">
        <v>0</v>
      </c>
      <c r="AN18" s="23" t="s">
        <v>243</v>
      </c>
      <c r="AO18" s="23" t="s">
        <v>257</v>
      </c>
      <c r="AP18" s="23" t="s">
        <v>71</v>
      </c>
    </row>
    <row r="19" customFormat="false" ht="15" hidden="false" customHeight="false" outlineLevel="0" collapsed="false">
      <c r="A19" s="23" t="n">
        <v>17</v>
      </c>
      <c r="B19" s="23" t="n">
        <v>10</v>
      </c>
      <c r="C19" s="23" t="n">
        <v>38</v>
      </c>
      <c r="D19" s="23" t="s">
        <v>157</v>
      </c>
      <c r="E19" s="23" t="s">
        <v>219</v>
      </c>
      <c r="F19" s="23" t="s">
        <v>220</v>
      </c>
      <c r="G19" s="23" t="s">
        <v>252</v>
      </c>
      <c r="H19" s="23" t="s">
        <v>174</v>
      </c>
      <c r="I19" s="23" t="s">
        <v>162</v>
      </c>
      <c r="J19" s="23" t="n">
        <v>46250.3414407523</v>
      </c>
      <c r="K19" s="23" t="n">
        <v>1</v>
      </c>
      <c r="L19" s="23" t="n">
        <v>3</v>
      </c>
      <c r="M19" s="23" t="n">
        <f aca="false">IF(OR(K19="",L19=""),"",K19*L19*3)</f>
        <v>9</v>
      </c>
      <c r="N19" s="23" t="s">
        <v>222</v>
      </c>
      <c r="O19" s="23" t="n">
        <v>8.750023</v>
      </c>
      <c r="P19" s="23" t="n">
        <v>8.432204</v>
      </c>
      <c r="Q19" s="23" t="n">
        <v>9.771014</v>
      </c>
      <c r="R19" s="23" t="s">
        <v>164</v>
      </c>
      <c r="S19" s="23" t="s">
        <v>254</v>
      </c>
      <c r="T19" s="23" t="s">
        <v>18</v>
      </c>
      <c r="U19" s="23" t="s">
        <v>224</v>
      </c>
      <c r="V19" s="23" t="s">
        <v>255</v>
      </c>
      <c r="W19" s="23" t="s">
        <v>256</v>
      </c>
      <c r="X19" s="23" t="n">
        <v>9.758152</v>
      </c>
      <c r="Y19" s="23" t="n">
        <f aca="false">IF(OR(Q19="",X19=""),"",Q19-X19)</f>
        <v>0.0128619999999984</v>
      </c>
      <c r="Z19" s="23" t="n">
        <f aca="false">IF(OR(Q19="",X19="",X19=0),"",Q19/X19-1)</f>
        <v>0.00131807743925272</v>
      </c>
      <c r="AA19" s="23" t="n">
        <v>8.180776</v>
      </c>
      <c r="AB19" s="23" t="n">
        <v>7.775691</v>
      </c>
      <c r="AC19" s="23" t="n">
        <v>9.409063</v>
      </c>
      <c r="AD19" s="23" t="n">
        <v>8.74138</v>
      </c>
      <c r="AE19" s="23" t="n">
        <f aca="false">IF(OR(AC19="",AD19=""),"",AC19-AD19)</f>
        <v>0.667683</v>
      </c>
      <c r="AF19" s="23" t="n">
        <f aca="false">IF(OR(AC19="",AD19="",AD19=0),"",AC19/AD19-1)</f>
        <v>0.0763818756306214</v>
      </c>
      <c r="AG19" s="23" t="n">
        <v>9.065425</v>
      </c>
      <c r="AH19" s="23" t="n">
        <v>8.803866</v>
      </c>
      <c r="AI19" s="23" t="n">
        <v>9.962636</v>
      </c>
      <c r="AJ19" s="23" t="n">
        <v>10.360716</v>
      </c>
      <c r="AK19" s="23" t="n">
        <f aca="false">IF(OR(AI19="",AJ19=""),"",AI19-AJ19)</f>
        <v>-0.39808</v>
      </c>
      <c r="AL19" s="23" t="n">
        <f aca="false">IF(OR(AI19="",AJ19="",AJ19=0),"",AI19/AJ19-1)</f>
        <v>-0.038422055000832</v>
      </c>
      <c r="AM19" s="23" t="n">
        <v>0</v>
      </c>
      <c r="AN19" s="23" t="s">
        <v>243</v>
      </c>
      <c r="AO19" s="23" t="s">
        <v>258</v>
      </c>
      <c r="AP19" s="23" t="s">
        <v>71</v>
      </c>
    </row>
    <row r="20" customFormat="false" ht="15" hidden="false" customHeight="false" outlineLevel="0" collapsed="false">
      <c r="A20" s="23" t="n">
        <v>18</v>
      </c>
      <c r="B20" s="23" t="n">
        <v>12</v>
      </c>
      <c r="C20" s="23" t="n">
        <v>37</v>
      </c>
      <c r="D20" s="23" t="s">
        <v>157</v>
      </c>
      <c r="E20" s="23" t="s">
        <v>158</v>
      </c>
      <c r="F20" s="23" t="s">
        <v>159</v>
      </c>
      <c r="G20" s="23" t="s">
        <v>259</v>
      </c>
      <c r="H20" s="23" t="s">
        <v>161</v>
      </c>
      <c r="I20" s="23" t="s">
        <v>162</v>
      </c>
      <c r="J20" s="23" t="n">
        <v>46250.5795279861</v>
      </c>
      <c r="K20" s="23" t="n">
        <v>1</v>
      </c>
      <c r="L20" s="23" t="n">
        <v>3</v>
      </c>
      <c r="M20" s="23" t="n">
        <f aca="false">IF(OR(K20="",L20=""),"",K20*L20*3)</f>
        <v>9</v>
      </c>
      <c r="N20" s="23" t="s">
        <v>163</v>
      </c>
      <c r="O20" s="23" t="n">
        <v>9.268506</v>
      </c>
      <c r="P20" s="23" t="n">
        <v>8.765928</v>
      </c>
      <c r="Q20" s="23" t="n">
        <v>9.762986</v>
      </c>
      <c r="R20" s="23" t="s">
        <v>164</v>
      </c>
      <c r="S20" s="23" t="s">
        <v>260</v>
      </c>
      <c r="T20" s="23" t="s">
        <v>18</v>
      </c>
      <c r="U20" s="23" t="s">
        <v>166</v>
      </c>
      <c r="V20" s="23" t="s">
        <v>261</v>
      </c>
      <c r="W20" s="23" t="s">
        <v>262</v>
      </c>
      <c r="X20" s="23" t="n">
        <v>9.596545</v>
      </c>
      <c r="Y20" s="23" t="n">
        <f aca="false">IF(OR(Q20="",X20=""),"",Q20-X20)</f>
        <v>0.166440999999999</v>
      </c>
      <c r="Z20" s="23" t="n">
        <f aca="false">IF(OR(Q20="",X20="",X20=0),"",Q20/X20-1)</f>
        <v>0.017343846144628</v>
      </c>
      <c r="AA20" s="23" t="n">
        <v>8.59358149314615</v>
      </c>
      <c r="AB20" s="23" t="n">
        <v>8.08773859551913</v>
      </c>
      <c r="AC20" s="23" t="n">
        <v>9.35324725467445</v>
      </c>
      <c r="AD20" s="23" t="n">
        <v>8.46428544862225</v>
      </c>
      <c r="AE20" s="23" t="n">
        <f aca="false">IF(OR(AC20="",AD20=""),"",AC20-AD20)</f>
        <v>0.888961806052203</v>
      </c>
      <c r="AF20" s="23" t="n">
        <f aca="false">IF(OR(AC20="",AD20="",AD20=0),"",AC20/AD20-1)</f>
        <v>0.105025026796196</v>
      </c>
      <c r="AG20" s="23" t="n">
        <v>9.64734918194854</v>
      </c>
      <c r="AH20" s="23" t="n">
        <v>9.14954111293458</v>
      </c>
      <c r="AI20" s="23" t="n">
        <v>9.98161865350977</v>
      </c>
      <c r="AJ20" s="23" t="n">
        <v>10.2844123721585</v>
      </c>
      <c r="AK20" s="23" t="n">
        <f aca="false">IF(OR(AI20="",AJ20=""),"",AI20-AJ20)</f>
        <v>-0.302793718648713</v>
      </c>
      <c r="AL20" s="23" t="n">
        <f aca="false">IF(OR(AI20="",AJ20="",AJ20=0),"",AI20/AJ20-1)</f>
        <v>-0.0294420048216292</v>
      </c>
      <c r="AM20" s="23" t="n">
        <v>0</v>
      </c>
      <c r="AN20" s="23" t="s">
        <v>169</v>
      </c>
      <c r="AO20" s="23" t="s">
        <v>263</v>
      </c>
      <c r="AP20" s="23" t="s">
        <v>80</v>
      </c>
    </row>
    <row r="21" customFormat="false" ht="15" hidden="false" customHeight="false" outlineLevel="0" collapsed="false">
      <c r="A21" s="23" t="n">
        <v>19</v>
      </c>
      <c r="B21" s="23" t="n">
        <v>40</v>
      </c>
      <c r="C21" s="23" t="n">
        <v>7</v>
      </c>
      <c r="D21" s="23" t="s">
        <v>157</v>
      </c>
      <c r="E21" s="23" t="s">
        <v>219</v>
      </c>
      <c r="F21" s="23" t="s">
        <v>220</v>
      </c>
      <c r="G21" s="23" t="s">
        <v>222</v>
      </c>
      <c r="H21" s="23" t="s">
        <v>174</v>
      </c>
      <c r="I21" s="23" t="s">
        <v>162</v>
      </c>
      <c r="J21" s="23" t="n">
        <v>46250.3133780208</v>
      </c>
      <c r="K21" s="23" t="n">
        <v>1</v>
      </c>
      <c r="L21" s="23" t="n">
        <v>3</v>
      </c>
      <c r="M21" s="23" t="n">
        <f aca="false">IF(OR(K21="",L21=""),"",K21*L21*3)</f>
        <v>9</v>
      </c>
      <c r="N21" s="23" t="s">
        <v>222</v>
      </c>
      <c r="O21" s="23" t="n">
        <v>8.973133</v>
      </c>
      <c r="P21" s="23" t="n">
        <v>8.946455</v>
      </c>
      <c r="Q21" s="23" t="n">
        <v>9.758152</v>
      </c>
      <c r="R21" s="23" t="s">
        <v>164</v>
      </c>
      <c r="S21" s="23" t="s">
        <v>132</v>
      </c>
      <c r="T21" s="23" t="s">
        <v>18</v>
      </c>
      <c r="U21" s="23" t="s">
        <v>224</v>
      </c>
      <c r="V21" s="23" t="s">
        <v>207</v>
      </c>
      <c r="W21" s="23" t="s">
        <v>207</v>
      </c>
      <c r="X21" s="23" t="n">
        <v>9.758152</v>
      </c>
      <c r="Y21" s="23" t="n">
        <f aca="false">IF(OR(Q21="",X21=""),"",Q21-X21)</f>
        <v>0</v>
      </c>
      <c r="Z21" s="23" t="n">
        <f aca="false">IF(OR(Q21="",X21="",X21=0),"",Q21/X21-1)</f>
        <v>0</v>
      </c>
      <c r="AA21" s="23" t="n">
        <v>8.321742</v>
      </c>
      <c r="AB21" s="23" t="n">
        <v>8.553744</v>
      </c>
      <c r="AC21" s="23" t="n">
        <v>8.74138</v>
      </c>
      <c r="AD21" s="23" t="n">
        <v>8.74138</v>
      </c>
      <c r="AE21" s="23" t="n">
        <f aca="false">IF(OR(AC21="",AD21=""),"",AC21-AD21)</f>
        <v>0</v>
      </c>
      <c r="AF21" s="23" t="n">
        <f aca="false">IF(OR(AC21="",AD21="",AD21=0),"",AC21/AD21-1)</f>
        <v>0</v>
      </c>
      <c r="AG21" s="23" t="n">
        <v>9.338628</v>
      </c>
      <c r="AH21" s="23" t="n">
        <v>9.156651</v>
      </c>
      <c r="AI21" s="23" t="n">
        <v>10.360716</v>
      </c>
      <c r="AJ21" s="23" t="n">
        <v>10.360716</v>
      </c>
      <c r="AK21" s="23" t="n">
        <f aca="false">IF(OR(AI21="",AJ21=""),"",AI21-AJ21)</f>
        <v>0</v>
      </c>
      <c r="AL21" s="23" t="n">
        <f aca="false">IF(OR(AI21="",AJ21="",AJ21=0),"",AI21/AJ21-1)</f>
        <v>0</v>
      </c>
      <c r="AM21" s="23" t="n">
        <v>0</v>
      </c>
      <c r="AN21" s="23"/>
      <c r="AO21" s="23" t="s">
        <v>264</v>
      </c>
      <c r="AP21" s="23" t="s">
        <v>71</v>
      </c>
    </row>
    <row r="22" customFormat="false" ht="15" hidden="false" customHeight="false" outlineLevel="0" collapsed="false">
      <c r="A22" s="23" t="n">
        <v>20</v>
      </c>
      <c r="B22" s="23" t="n">
        <v>44</v>
      </c>
      <c r="C22" s="23" t="n">
        <v>8</v>
      </c>
      <c r="D22" s="23" t="s">
        <v>157</v>
      </c>
      <c r="E22" s="23" t="s">
        <v>265</v>
      </c>
      <c r="F22" s="23" t="s">
        <v>266</v>
      </c>
      <c r="G22" s="23" t="s">
        <v>267</v>
      </c>
      <c r="H22" s="23" t="s">
        <v>174</v>
      </c>
      <c r="I22" s="23" t="s">
        <v>175</v>
      </c>
      <c r="J22" s="23" t="n">
        <v>46249.6100471296</v>
      </c>
      <c r="K22" s="23" t="n">
        <v>1</v>
      </c>
      <c r="L22" s="23" t="n">
        <v>3</v>
      </c>
      <c r="M22" s="23" t="n">
        <f aca="false">IF(OR(K22="",L22=""),"",K22*L22*3)</f>
        <v>9</v>
      </c>
      <c r="N22" s="23" t="s">
        <v>268</v>
      </c>
      <c r="O22" s="23" t="n">
        <v>8.956036</v>
      </c>
      <c r="P22" s="23" t="n">
        <v>8.813568</v>
      </c>
      <c r="Q22" s="23" t="n">
        <v>9.743661</v>
      </c>
      <c r="R22" s="23" t="s">
        <v>164</v>
      </c>
      <c r="S22" s="23" t="s">
        <v>269</v>
      </c>
      <c r="T22" s="23" t="s">
        <v>18</v>
      </c>
      <c r="U22" s="23" t="s">
        <v>270</v>
      </c>
      <c r="V22" s="23" t="s">
        <v>271</v>
      </c>
      <c r="W22" s="23" t="s">
        <v>272</v>
      </c>
      <c r="X22" s="23" t="n">
        <v>9.030784</v>
      </c>
      <c r="Y22" s="23" t="n">
        <f aca="false">IF(OR(Q22="",X22=""),"",Q22-X22)</f>
        <v>0.712876999999999</v>
      </c>
      <c r="Z22" s="23" t="n">
        <f aca="false">IF(OR(Q22="",X22="",X22=0),"",Q22/X22-1)</f>
        <v>0.0789385506286053</v>
      </c>
      <c r="AA22" s="23" t="n">
        <v>8.34590553047973</v>
      </c>
      <c r="AB22" s="23" t="n">
        <v>8.27359273940958</v>
      </c>
      <c r="AC22" s="23" t="n">
        <v>8.70666705385784</v>
      </c>
      <c r="AD22" s="23" t="n">
        <v>7.92485409035487</v>
      </c>
      <c r="AE22" s="23" t="n">
        <f aca="false">IF(OR(AC22="",AD22=""),"",AC22-AD22)</f>
        <v>0.78181296350297</v>
      </c>
      <c r="AF22" s="23" t="n">
        <f aca="false">IF(OR(AC22="",AD22="",AD22=0),"",AC22/AD22-1)</f>
        <v>0.0986532943810909</v>
      </c>
      <c r="AG22" s="23" t="n">
        <v>9.29582402838657</v>
      </c>
      <c r="AH22" s="23" t="n">
        <v>9.11087869154482</v>
      </c>
      <c r="AI22" s="23" t="n">
        <v>10.360656214466</v>
      </c>
      <c r="AJ22" s="23" t="n">
        <v>9.70818320266672</v>
      </c>
      <c r="AK22" s="23" t="n">
        <f aca="false">IF(OR(AI22="",AJ22=""),"",AI22-AJ22)</f>
        <v>0.652473011799291</v>
      </c>
      <c r="AL22" s="23" t="n">
        <f aca="false">IF(OR(AI22="",AJ22="",AJ22=0),"",AI22/AJ22-1)</f>
        <v>0.0672085598487742</v>
      </c>
      <c r="AM22" s="23" t="n">
        <v>0</v>
      </c>
      <c r="AN22" s="23"/>
      <c r="AO22" s="23" t="s">
        <v>273</v>
      </c>
      <c r="AP22" s="23" t="s">
        <v>274</v>
      </c>
    </row>
    <row r="23" customFormat="false" ht="15" hidden="false" customHeight="false" outlineLevel="0" collapsed="false">
      <c r="A23" s="23" t="n">
        <v>21</v>
      </c>
      <c r="B23" s="23" t="n">
        <v>48</v>
      </c>
      <c r="C23" s="23" t="n">
        <v>5</v>
      </c>
      <c r="D23" s="23" t="s">
        <v>157</v>
      </c>
      <c r="E23" s="23" t="s">
        <v>275</v>
      </c>
      <c r="F23" s="23" t="s">
        <v>276</v>
      </c>
      <c r="G23" s="23" t="s">
        <v>277</v>
      </c>
      <c r="H23" s="23" t="s">
        <v>174</v>
      </c>
      <c r="I23" s="23" t="s">
        <v>175</v>
      </c>
      <c r="J23" s="23" t="n">
        <v>46249.6602747569</v>
      </c>
      <c r="K23" s="23" t="n">
        <v>1</v>
      </c>
      <c r="L23" s="23" t="n">
        <v>3</v>
      </c>
      <c r="M23" s="23" t="n">
        <f aca="false">IF(OR(K23="",L23=""),"",K23*L23*3)</f>
        <v>9</v>
      </c>
      <c r="N23" s="23" t="s">
        <v>278</v>
      </c>
      <c r="O23" s="23" t="n">
        <v>9.214097</v>
      </c>
      <c r="P23" s="23" t="n">
        <v>8.595678</v>
      </c>
      <c r="Q23" s="23" t="n">
        <v>9.741785</v>
      </c>
      <c r="R23" s="23" t="s">
        <v>164</v>
      </c>
      <c r="S23" s="23" t="s">
        <v>279</v>
      </c>
      <c r="T23" s="23" t="s">
        <v>18</v>
      </c>
      <c r="U23" s="23" t="s">
        <v>280</v>
      </c>
      <c r="V23" s="23" t="s">
        <v>281</v>
      </c>
      <c r="W23" s="23" t="s">
        <v>282</v>
      </c>
      <c r="X23" s="23" t="n">
        <v>9.190881</v>
      </c>
      <c r="Y23" s="23" t="n">
        <f aca="false">IF(OR(Q23="",X23=""),"",Q23-X23)</f>
        <v>0.550904000000001</v>
      </c>
      <c r="Z23" s="23" t="n">
        <f aca="false">IF(OR(Q23="",X23="",X23=0),"",Q23/X23-1)</f>
        <v>0.0599402821122372</v>
      </c>
      <c r="AA23" s="23" t="n">
        <v>8.84971122780891</v>
      </c>
      <c r="AB23" s="23" t="n">
        <v>8.22528311563457</v>
      </c>
      <c r="AC23" s="23" t="n">
        <v>8.66352036812678</v>
      </c>
      <c r="AD23" s="23" t="n">
        <v>8.30350417746048</v>
      </c>
      <c r="AE23" s="23" t="n">
        <f aca="false">IF(OR(AC23="",AD23=""),"",AC23-AD23)</f>
        <v>0.360016190666299</v>
      </c>
      <c r="AF23" s="23" t="n">
        <f aca="false">IF(OR(AC23="",AD23="",AD23=0),"",AC23/AD23-1)</f>
        <v>0.0433571397053725</v>
      </c>
      <c r="AG23" s="23" t="n">
        <v>9.40777866252458</v>
      </c>
      <c r="AH23" s="23" t="n">
        <v>8.79367300339747</v>
      </c>
      <c r="AI23" s="23" t="n">
        <v>10.3882473343822</v>
      </c>
      <c r="AJ23" s="23" t="n">
        <v>9.70970855124238</v>
      </c>
      <c r="AK23" s="23" t="n">
        <f aca="false">IF(OR(AI23="",AJ23=""),"",AI23-AJ23)</f>
        <v>0.678538783139812</v>
      </c>
      <c r="AL23" s="23" t="n">
        <f aca="false">IF(OR(AI23="",AJ23="",AJ23=0),"",AI23/AJ23-1)</f>
        <v>0.0698825077559091</v>
      </c>
      <c r="AM23" s="23" t="n">
        <v>0</v>
      </c>
      <c r="AN23" s="23"/>
      <c r="AO23" s="23" t="s">
        <v>283</v>
      </c>
      <c r="AP23" s="23" t="s">
        <v>284</v>
      </c>
    </row>
    <row r="24" customFormat="false" ht="15" hidden="false" customHeight="false" outlineLevel="0" collapsed="false">
      <c r="A24" s="23" t="n">
        <v>22</v>
      </c>
      <c r="B24" s="23" t="n">
        <v>23</v>
      </c>
      <c r="C24" s="23" t="n">
        <v>18</v>
      </c>
      <c r="D24" s="23" t="s">
        <v>157</v>
      </c>
      <c r="E24" s="23" t="s">
        <v>219</v>
      </c>
      <c r="F24" s="23" t="s">
        <v>220</v>
      </c>
      <c r="G24" s="23" t="s">
        <v>285</v>
      </c>
      <c r="H24" s="23" t="s">
        <v>174</v>
      </c>
      <c r="I24" s="23" t="s">
        <v>162</v>
      </c>
      <c r="J24" s="23" t="n">
        <v>46250.3189751042</v>
      </c>
      <c r="K24" s="23" t="n">
        <v>1</v>
      </c>
      <c r="L24" s="23" t="n">
        <v>3</v>
      </c>
      <c r="M24" s="23" t="n">
        <f aca="false">IF(OR(K24="",L24=""),"",K24*L24*3)</f>
        <v>9</v>
      </c>
      <c r="N24" s="23" t="s">
        <v>222</v>
      </c>
      <c r="O24" s="23" t="n">
        <v>9.176276</v>
      </c>
      <c r="P24" s="23" t="n">
        <v>8.323116</v>
      </c>
      <c r="Q24" s="23" t="n">
        <v>9.724421</v>
      </c>
      <c r="R24" s="23" t="s">
        <v>164</v>
      </c>
      <c r="S24" s="23" t="s">
        <v>223</v>
      </c>
      <c r="T24" s="23" t="s">
        <v>18</v>
      </c>
      <c r="U24" s="23" t="s">
        <v>224</v>
      </c>
      <c r="V24" s="23" t="s">
        <v>225</v>
      </c>
      <c r="W24" s="23" t="s">
        <v>286</v>
      </c>
      <c r="X24" s="23" t="n">
        <v>9.758152</v>
      </c>
      <c r="Y24" s="23" t="n">
        <f aca="false">IF(OR(Q24="",X24=""),"",Q24-X24)</f>
        <v>-0.0337310000000013</v>
      </c>
      <c r="Z24" s="23" t="n">
        <f aca="false">IF(OR(Q24="",X24="",X24=0),"",Q24/X24-1)</f>
        <v>-0.00345669958820083</v>
      </c>
      <c r="AA24" s="23" t="n">
        <v>8.704019</v>
      </c>
      <c r="AB24" s="23" t="n">
        <v>8.140415</v>
      </c>
      <c r="AC24" s="23" t="n">
        <v>8.886357</v>
      </c>
      <c r="AD24" s="23" t="n">
        <v>8.74138</v>
      </c>
      <c r="AE24" s="23" t="n">
        <f aca="false">IF(OR(AC24="",AD24=""),"",AC24-AD24)</f>
        <v>0.144977000000001</v>
      </c>
      <c r="AF24" s="23" t="n">
        <f aca="false">IF(OR(AC24="",AD24="",AD24=0),"",AC24/AD24-1)</f>
        <v>0.0165851387309557</v>
      </c>
      <c r="AG24" s="23" t="n">
        <v>9.432158</v>
      </c>
      <c r="AH24" s="23" t="n">
        <v>8.417576</v>
      </c>
      <c r="AI24" s="23" t="n">
        <v>10.205664</v>
      </c>
      <c r="AJ24" s="23" t="n">
        <v>10.360716</v>
      </c>
      <c r="AK24" s="23" t="n">
        <f aca="false">IF(OR(AI24="",AJ24=""),"",AI24-AJ24)</f>
        <v>-0.155052</v>
      </c>
      <c r="AL24" s="23" t="n">
        <f aca="false">IF(OR(AI24="",AJ24="",AJ24=0),"",AI24/AJ24-1)</f>
        <v>-0.0149653749798758</v>
      </c>
      <c r="AM24" s="23" t="n">
        <v>0</v>
      </c>
      <c r="AN24" s="23"/>
      <c r="AO24" s="23" t="s">
        <v>287</v>
      </c>
      <c r="AP24" s="23" t="s">
        <v>71</v>
      </c>
    </row>
    <row r="25" customFormat="false" ht="15" hidden="false" customHeight="false" outlineLevel="0" collapsed="false">
      <c r="A25" s="23" t="n">
        <v>23</v>
      </c>
      <c r="B25" s="23" t="n">
        <v>41</v>
      </c>
      <c r="C25" s="23" t="n">
        <v>12</v>
      </c>
      <c r="D25" s="23" t="s">
        <v>157</v>
      </c>
      <c r="E25" s="23" t="s">
        <v>288</v>
      </c>
      <c r="F25" s="23" t="s">
        <v>289</v>
      </c>
      <c r="G25" s="23" t="s">
        <v>290</v>
      </c>
      <c r="H25" s="23" t="s">
        <v>174</v>
      </c>
      <c r="I25" s="23" t="s">
        <v>175</v>
      </c>
      <c r="J25" s="23" t="n">
        <v>46249.791923287</v>
      </c>
      <c r="K25" s="23" t="n">
        <v>1</v>
      </c>
      <c r="L25" s="23" t="n">
        <v>3</v>
      </c>
      <c r="M25" s="23" t="n">
        <f aca="false">IF(OR(K25="",L25=""),"",K25*L25*3)</f>
        <v>9</v>
      </c>
      <c r="N25" s="23" t="s">
        <v>187</v>
      </c>
      <c r="O25" s="23" t="n">
        <v>9.053959</v>
      </c>
      <c r="P25" s="23" t="n">
        <v>8.303067</v>
      </c>
      <c r="Q25" s="23" t="n">
        <v>9.716156</v>
      </c>
      <c r="R25" s="23" t="s">
        <v>164</v>
      </c>
      <c r="S25" s="23" t="s">
        <v>40</v>
      </c>
      <c r="T25" s="23" t="s">
        <v>18</v>
      </c>
      <c r="U25" s="23" t="s">
        <v>178</v>
      </c>
      <c r="V25" s="23" t="s">
        <v>291</v>
      </c>
      <c r="W25" s="23" t="s">
        <v>292</v>
      </c>
      <c r="X25" s="23" t="n">
        <v>9.065573</v>
      </c>
      <c r="Y25" s="23" t="n">
        <f aca="false">IF(OR(Q25="",X25=""),"",Q25-X25)</f>
        <v>0.650582999999999</v>
      </c>
      <c r="Z25" s="23" t="n">
        <f aca="false">IF(OR(Q25="",X25="",X25=0),"",Q25/X25-1)</f>
        <v>0.0717641344898992</v>
      </c>
      <c r="AA25" s="23" t="n">
        <v>8.57660654542841</v>
      </c>
      <c r="AB25" s="23" t="n">
        <v>7.55458113596173</v>
      </c>
      <c r="AC25" s="23" t="n">
        <v>8.73384765852429</v>
      </c>
      <c r="AD25" s="23" t="n">
        <v>8.18140532135893</v>
      </c>
      <c r="AE25" s="23" t="n">
        <f aca="false">IF(OR(AC25="",AD25=""),"",AC25-AD25)</f>
        <v>0.552442337165363</v>
      </c>
      <c r="AF25" s="23" t="n">
        <f aca="false">IF(OR(AC25="",AD25="",AD25=0),"",AC25/AD25-1)</f>
        <v>0.067524137414769</v>
      </c>
      <c r="AG25" s="23" t="n">
        <v>9.31313124723658</v>
      </c>
      <c r="AH25" s="23" t="n">
        <v>8.73582672015071</v>
      </c>
      <c r="AI25" s="23" t="n">
        <v>10.2951089898844</v>
      </c>
      <c r="AJ25" s="23" t="n">
        <v>9.5834141990268</v>
      </c>
      <c r="AK25" s="23" t="n">
        <f aca="false">IF(OR(AI25="",AJ25=""),"",AI25-AJ25)</f>
        <v>0.711694790857564</v>
      </c>
      <c r="AL25" s="23" t="n">
        <f aca="false">IF(OR(AI25="",AJ25="",AJ25=0),"",AI25/AJ25-1)</f>
        <v>0.0742631776188738</v>
      </c>
      <c r="AM25" s="23" t="n">
        <v>0</v>
      </c>
      <c r="AN25" s="23"/>
      <c r="AO25" s="23" t="s">
        <v>293</v>
      </c>
      <c r="AP25" s="23" t="s">
        <v>183</v>
      </c>
    </row>
    <row r="26" customFormat="false" ht="15" hidden="false" customHeight="false" outlineLevel="0" collapsed="false">
      <c r="A26" s="23" t="n">
        <v>24</v>
      </c>
      <c r="B26" s="23" t="n">
        <v>32</v>
      </c>
      <c r="C26" s="23" t="n">
        <v>21</v>
      </c>
      <c r="D26" s="23" t="s">
        <v>157</v>
      </c>
      <c r="E26" s="23" t="s">
        <v>158</v>
      </c>
      <c r="F26" s="23" t="s">
        <v>159</v>
      </c>
      <c r="G26" s="23" t="s">
        <v>294</v>
      </c>
      <c r="H26" s="23" t="s">
        <v>161</v>
      </c>
      <c r="I26" s="23" t="s">
        <v>162</v>
      </c>
      <c r="J26" s="23" t="n">
        <v>46250.5156699769</v>
      </c>
      <c r="K26" s="23" t="n">
        <v>1</v>
      </c>
      <c r="L26" s="23" t="n">
        <v>3</v>
      </c>
      <c r="M26" s="23" t="n">
        <f aca="false">IF(OR(K26="",L26=""),"",K26*L26*3)</f>
        <v>9</v>
      </c>
      <c r="N26" s="23" t="s">
        <v>163</v>
      </c>
      <c r="O26" s="23" t="n">
        <v>9.057536</v>
      </c>
      <c r="P26" s="23" t="n">
        <v>8.76019</v>
      </c>
      <c r="Q26" s="23" t="n">
        <v>9.649291</v>
      </c>
      <c r="R26" s="23" t="s">
        <v>164</v>
      </c>
      <c r="S26" s="23" t="s">
        <v>295</v>
      </c>
      <c r="T26" s="23" t="s">
        <v>18</v>
      </c>
      <c r="U26" s="23" t="s">
        <v>166</v>
      </c>
      <c r="V26" s="23" t="s">
        <v>296</v>
      </c>
      <c r="W26" s="23" t="s">
        <v>297</v>
      </c>
      <c r="X26" s="23" t="n">
        <v>9.596545</v>
      </c>
      <c r="Y26" s="23" t="n">
        <f aca="false">IF(OR(Q26="",X26=""),"",Q26-X26)</f>
        <v>0.0527459999999991</v>
      </c>
      <c r="Z26" s="23" t="n">
        <f aca="false">IF(OR(Q26="",X26="",X26=0),"",Q26/X26-1)</f>
        <v>0.00549635311458441</v>
      </c>
      <c r="AA26" s="23" t="n">
        <v>8.43763631128583</v>
      </c>
      <c r="AB26" s="23" t="n">
        <v>8.08812221443456</v>
      </c>
      <c r="AC26" s="23" t="n">
        <v>8.79102938927978</v>
      </c>
      <c r="AD26" s="23" t="n">
        <v>8.46428544862225</v>
      </c>
      <c r="AE26" s="23" t="n">
        <f aca="false">IF(OR(AC26="",AD26=""),"",AC26-AD26)</f>
        <v>0.326743940657529</v>
      </c>
      <c r="AF26" s="23" t="n">
        <f aca="false">IF(OR(AC26="",AD26="",AD26=0),"",AC26/AD26-1)</f>
        <v>0.0386026608673404</v>
      </c>
      <c r="AG26" s="23" t="n">
        <v>9.40294559036875</v>
      </c>
      <c r="AH26" s="23" t="n">
        <v>9.13992257820133</v>
      </c>
      <c r="AI26" s="23" t="n">
        <v>10.1444909711202</v>
      </c>
      <c r="AJ26" s="23" t="n">
        <v>10.2844123721585</v>
      </c>
      <c r="AK26" s="23" t="n">
        <f aca="false">IF(OR(AI26="",AJ26=""),"",AI26-AJ26)</f>
        <v>-0.139921401038247</v>
      </c>
      <c r="AL26" s="23" t="n">
        <f aca="false">IF(OR(AI26="",AJ26="",AJ26=0),"",AI26/AJ26-1)</f>
        <v>-0.0136051916215492</v>
      </c>
      <c r="AM26" s="23" t="n">
        <v>0</v>
      </c>
      <c r="AN26" s="23" t="s">
        <v>169</v>
      </c>
      <c r="AO26" s="23" t="s">
        <v>298</v>
      </c>
      <c r="AP26" s="23" t="s">
        <v>80</v>
      </c>
    </row>
    <row r="27" customFormat="false" ht="15" hidden="false" customHeight="false" outlineLevel="0" collapsed="false">
      <c r="A27" s="23" t="n">
        <v>25</v>
      </c>
      <c r="B27" s="23" t="n">
        <v>33</v>
      </c>
      <c r="C27" s="23" t="n">
        <v>22</v>
      </c>
      <c r="D27" s="23" t="s">
        <v>157</v>
      </c>
      <c r="E27" s="23" t="s">
        <v>158</v>
      </c>
      <c r="F27" s="23" t="s">
        <v>159</v>
      </c>
      <c r="G27" s="23" t="s">
        <v>299</v>
      </c>
      <c r="H27" s="23" t="s">
        <v>161</v>
      </c>
      <c r="I27" s="23" t="s">
        <v>162</v>
      </c>
      <c r="J27" s="23" t="n">
        <v>46250.4882452778</v>
      </c>
      <c r="K27" s="23" t="n">
        <v>1</v>
      </c>
      <c r="L27" s="23" t="n">
        <v>3</v>
      </c>
      <c r="M27" s="23" t="n">
        <f aca="false">IF(OR(K27="",L27=""),"",K27*L27*3)</f>
        <v>9</v>
      </c>
      <c r="N27" s="23" t="s">
        <v>163</v>
      </c>
      <c r="O27" s="23" t="n">
        <v>8.895332</v>
      </c>
      <c r="P27" s="23" t="n">
        <v>8.932523</v>
      </c>
      <c r="Q27" s="23" t="n">
        <v>9.643442</v>
      </c>
      <c r="R27" s="23" t="s">
        <v>164</v>
      </c>
      <c r="S27" s="23" t="s">
        <v>74</v>
      </c>
      <c r="T27" s="23" t="s">
        <v>18</v>
      </c>
      <c r="U27" s="23" t="s">
        <v>166</v>
      </c>
      <c r="V27" s="23" t="s">
        <v>229</v>
      </c>
      <c r="W27" s="23" t="s">
        <v>300</v>
      </c>
      <c r="X27" s="23" t="n">
        <v>9.596545</v>
      </c>
      <c r="Y27" s="23" t="n">
        <f aca="false">IF(OR(Q27="",X27=""),"",Q27-X27)</f>
        <v>0.0468969999999995</v>
      </c>
      <c r="Z27" s="23" t="n">
        <f aca="false">IF(OR(Q27="",X27="",X27=0),"",Q27/X27-1)</f>
        <v>0.00488686292827256</v>
      </c>
      <c r="AA27" s="23" t="n">
        <v>8.43915640410604</v>
      </c>
      <c r="AB27" s="23" t="n">
        <v>8.72878667493317</v>
      </c>
      <c r="AC27" s="23" t="n">
        <v>8.7861153690171</v>
      </c>
      <c r="AD27" s="23" t="n">
        <v>8.46428544862225</v>
      </c>
      <c r="AE27" s="23" t="n">
        <f aca="false">IF(OR(AC27="",AD27=""),"",AC27-AD27)</f>
        <v>0.321829920394853</v>
      </c>
      <c r="AF27" s="23" t="n">
        <f aca="false">IF(OR(AC27="",AD27="",AD27=0),"",AC27/AD27-1)</f>
        <v>0.0380221014931907</v>
      </c>
      <c r="AG27" s="23" t="n">
        <v>9.14242809226659</v>
      </c>
      <c r="AH27" s="23" t="n">
        <v>9.03799963766184</v>
      </c>
      <c r="AI27" s="23" t="n">
        <v>10.1380645747406</v>
      </c>
      <c r="AJ27" s="23" t="n">
        <v>10.2844123721585</v>
      </c>
      <c r="AK27" s="23" t="n">
        <f aca="false">IF(OR(AI27="",AJ27=""),"",AI27-AJ27)</f>
        <v>-0.146347797417903</v>
      </c>
      <c r="AL27" s="23" t="n">
        <f aca="false">IF(OR(AI27="",AJ27="",AJ27=0),"",AI27/AJ27-1)</f>
        <v>-0.014230059251036</v>
      </c>
      <c r="AM27" s="23" t="n">
        <v>0</v>
      </c>
      <c r="AN27" s="23" t="s">
        <v>169</v>
      </c>
      <c r="AO27" s="23" t="s">
        <v>301</v>
      </c>
      <c r="AP27" s="23" t="s">
        <v>80</v>
      </c>
    </row>
    <row r="28" customFormat="false" ht="15" hidden="false" customHeight="false" outlineLevel="0" collapsed="false">
      <c r="A28" s="23" t="n">
        <v>26</v>
      </c>
      <c r="B28" s="23" t="n">
        <v>54</v>
      </c>
      <c r="C28" s="23" t="n">
        <v>15</v>
      </c>
      <c r="D28" s="23" t="s">
        <v>157</v>
      </c>
      <c r="E28" s="23" t="s">
        <v>265</v>
      </c>
      <c r="F28" s="23" t="s">
        <v>266</v>
      </c>
      <c r="G28" s="23" t="s">
        <v>302</v>
      </c>
      <c r="H28" s="23" t="s">
        <v>174</v>
      </c>
      <c r="I28" s="23" t="s">
        <v>175</v>
      </c>
      <c r="J28" s="23" t="n">
        <v>46249.6212581597</v>
      </c>
      <c r="K28" s="23" t="n">
        <v>1</v>
      </c>
      <c r="L28" s="23" t="n">
        <v>3</v>
      </c>
      <c r="M28" s="23" t="n">
        <f aca="false">IF(OR(K28="",L28=""),"",K28*L28*3)</f>
        <v>9</v>
      </c>
      <c r="N28" s="23" t="s">
        <v>268</v>
      </c>
      <c r="O28" s="23" t="n">
        <v>8.768883</v>
      </c>
      <c r="P28" s="23" t="n">
        <v>8.377408</v>
      </c>
      <c r="Q28" s="23" t="n">
        <v>9.638428</v>
      </c>
      <c r="R28" s="23" t="s">
        <v>164</v>
      </c>
      <c r="S28" s="23" t="s">
        <v>303</v>
      </c>
      <c r="T28" s="23" t="s">
        <v>18</v>
      </c>
      <c r="U28" s="23" t="s">
        <v>270</v>
      </c>
      <c r="V28" s="23" t="s">
        <v>304</v>
      </c>
      <c r="W28" s="23" t="s">
        <v>305</v>
      </c>
      <c r="X28" s="23" t="n">
        <v>9.030784</v>
      </c>
      <c r="Y28" s="23" t="n">
        <f aca="false">IF(OR(Q28="",X28=""),"",Q28-X28)</f>
        <v>0.607643999999999</v>
      </c>
      <c r="Z28" s="23" t="n">
        <f aca="false">IF(OR(Q28="",X28="",X28=0),"",Q28/X28-1)</f>
        <v>0.067285852479696</v>
      </c>
      <c r="AA28" s="23" t="n">
        <v>8.12080003441203</v>
      </c>
      <c r="AB28" s="23" t="n">
        <v>7.46960414666188</v>
      </c>
      <c r="AC28" s="23" t="n">
        <v>8.606987185361</v>
      </c>
      <c r="AD28" s="23" t="n">
        <v>7.92485409035487</v>
      </c>
      <c r="AE28" s="23" t="n">
        <f aca="false">IF(OR(AC28="",AD28=""),"",AC28-AD28)</f>
        <v>0.682133095006131</v>
      </c>
      <c r="AF28" s="23" t="n">
        <f aca="false">IF(OR(AC28="",AD28="",AD28=0),"",AC28/AD28-1)</f>
        <v>0.0860751614135507</v>
      </c>
      <c r="AG28" s="23" t="n">
        <v>9.13332762752964</v>
      </c>
      <c r="AH28" s="23" t="n">
        <v>8.91940978497335</v>
      </c>
      <c r="AI28" s="23" t="n">
        <v>10.252761397761</v>
      </c>
      <c r="AJ28" s="23" t="n">
        <v>9.70818320266672</v>
      </c>
      <c r="AK28" s="23" t="n">
        <f aca="false">IF(OR(AI28="",AJ28=""),"",AI28-AJ28)</f>
        <v>0.544578195094292</v>
      </c>
      <c r="AL28" s="23" t="n">
        <f aca="false">IF(OR(AI28="",AJ28="",AJ28=0),"",AI28/AJ28-1)</f>
        <v>0.0560947587953122</v>
      </c>
      <c r="AM28" s="23" t="n">
        <v>0</v>
      </c>
      <c r="AN28" s="23"/>
      <c r="AO28" s="23" t="s">
        <v>306</v>
      </c>
      <c r="AP28" s="23" t="s">
        <v>274</v>
      </c>
    </row>
    <row r="29" customFormat="false" ht="15" hidden="false" customHeight="false" outlineLevel="0" collapsed="false">
      <c r="A29" s="23" t="n">
        <v>27</v>
      </c>
      <c r="B29" s="23" t="n">
        <v>34</v>
      </c>
      <c r="C29" s="23" t="n">
        <v>25</v>
      </c>
      <c r="D29" s="23" t="s">
        <v>157</v>
      </c>
      <c r="E29" s="23" t="s">
        <v>219</v>
      </c>
      <c r="F29" s="23" t="s">
        <v>220</v>
      </c>
      <c r="G29" s="23" t="s">
        <v>307</v>
      </c>
      <c r="H29" s="23" t="s">
        <v>174</v>
      </c>
      <c r="I29" s="23" t="s">
        <v>162</v>
      </c>
      <c r="J29" s="23" t="n">
        <v>46250.3358123264</v>
      </c>
      <c r="K29" s="23" t="n">
        <v>1</v>
      </c>
      <c r="L29" s="23" t="n">
        <v>3</v>
      </c>
      <c r="M29" s="23" t="n">
        <f aca="false">IF(OR(K29="",L29=""),"",K29*L29*3)</f>
        <v>9</v>
      </c>
      <c r="N29" s="23" t="s">
        <v>222</v>
      </c>
      <c r="O29" s="23" t="n">
        <v>8.808883</v>
      </c>
      <c r="P29" s="23" t="n">
        <v>8.758866</v>
      </c>
      <c r="Q29" s="23" t="n">
        <v>9.627624</v>
      </c>
      <c r="R29" s="23" t="s">
        <v>164</v>
      </c>
      <c r="S29" s="23" t="s">
        <v>308</v>
      </c>
      <c r="T29" s="23" t="s">
        <v>18</v>
      </c>
      <c r="U29" s="23" t="s">
        <v>224</v>
      </c>
      <c r="V29" s="23" t="s">
        <v>309</v>
      </c>
      <c r="W29" s="23" t="s">
        <v>310</v>
      </c>
      <c r="X29" s="23" t="n">
        <v>9.758152</v>
      </c>
      <c r="Y29" s="23" t="n">
        <f aca="false">IF(OR(Q29="",X29=""),"",Q29-X29)</f>
        <v>-0.130528</v>
      </c>
      <c r="Z29" s="23" t="n">
        <f aca="false">IF(OR(Q29="",X29="",X29=0),"",Q29/X29-1)</f>
        <v>-0.0133763032180684</v>
      </c>
      <c r="AA29" s="23" t="n">
        <v>8.327128</v>
      </c>
      <c r="AB29" s="23" t="n">
        <v>8.272259</v>
      </c>
      <c r="AC29" s="23" t="n">
        <v>8.780407</v>
      </c>
      <c r="AD29" s="23" t="n">
        <v>8.74138</v>
      </c>
      <c r="AE29" s="23" t="n">
        <f aca="false">IF(OR(AC29="",AD29=""),"",AC29-AD29)</f>
        <v>0.0390270000000008</v>
      </c>
      <c r="AF29" s="23" t="n">
        <f aca="false">IF(OR(AC29="",AD29="",AD29=0),"",AC29/AD29-1)</f>
        <v>0.00446462686669613</v>
      </c>
      <c r="AG29" s="23" t="n">
        <v>9.071286</v>
      </c>
      <c r="AH29" s="23" t="n">
        <v>9.024288</v>
      </c>
      <c r="AI29" s="23" t="n">
        <v>10.115651</v>
      </c>
      <c r="AJ29" s="23" t="n">
        <v>10.360716</v>
      </c>
      <c r="AK29" s="23" t="n">
        <f aca="false">IF(OR(AI29="",AJ29=""),"",AI29-AJ29)</f>
        <v>-0.245065</v>
      </c>
      <c r="AL29" s="23" t="n">
        <f aca="false">IF(OR(AI29="",AJ29="",AJ29=0),"",AI29/AJ29-1)</f>
        <v>-0.0236532880546094</v>
      </c>
      <c r="AM29" s="23" t="n">
        <v>0</v>
      </c>
      <c r="AN29" s="23" t="s">
        <v>243</v>
      </c>
      <c r="AO29" s="23" t="s">
        <v>311</v>
      </c>
      <c r="AP29" s="23" t="s">
        <v>71</v>
      </c>
    </row>
    <row r="30" customFormat="false" ht="15" hidden="false" customHeight="false" outlineLevel="0" collapsed="false">
      <c r="A30" s="23" t="n">
        <v>28</v>
      </c>
      <c r="B30" s="23" t="n">
        <v>45</v>
      </c>
      <c r="C30" s="23" t="n">
        <v>24</v>
      </c>
      <c r="D30" s="23" t="s">
        <v>157</v>
      </c>
      <c r="E30" s="23" t="s">
        <v>158</v>
      </c>
      <c r="F30" s="23" t="s">
        <v>159</v>
      </c>
      <c r="G30" s="23" t="s">
        <v>312</v>
      </c>
      <c r="H30" s="23" t="s">
        <v>161</v>
      </c>
      <c r="I30" s="23" t="s">
        <v>162</v>
      </c>
      <c r="J30" s="23" t="n">
        <v>46250.5339246412</v>
      </c>
      <c r="K30" s="23" t="n">
        <v>1</v>
      </c>
      <c r="L30" s="23" t="n">
        <v>3</v>
      </c>
      <c r="M30" s="23" t="n">
        <f aca="false">IF(OR(K30="",L30=""),"",K30*L30*3)</f>
        <v>9</v>
      </c>
      <c r="N30" s="23" t="s">
        <v>163</v>
      </c>
      <c r="O30" s="23" t="n">
        <v>8.834524</v>
      </c>
      <c r="P30" s="23" t="n">
        <v>8.370495</v>
      </c>
      <c r="Q30" s="23" t="n">
        <v>9.597994</v>
      </c>
      <c r="R30" s="23" t="s">
        <v>164</v>
      </c>
      <c r="S30" s="23" t="s">
        <v>94</v>
      </c>
      <c r="T30" s="23" t="s">
        <v>18</v>
      </c>
      <c r="U30" s="23" t="s">
        <v>166</v>
      </c>
      <c r="V30" s="23" t="s">
        <v>236</v>
      </c>
      <c r="W30" s="23" t="s">
        <v>313</v>
      </c>
      <c r="X30" s="23" t="n">
        <v>9.596545</v>
      </c>
      <c r="Y30" s="23" t="n">
        <f aca="false">IF(OR(Q30="",X30=""),"",Q30-X30)</f>
        <v>0.00144899999999915</v>
      </c>
      <c r="Z30" s="23" t="n">
        <f aca="false">IF(OR(Q30="",X30="",X30=0),"",Q30/X30-1)</f>
        <v>0.000150991841334491</v>
      </c>
      <c r="AA30" s="23" t="n">
        <v>8.26643688427538</v>
      </c>
      <c r="AB30" s="23" t="n">
        <v>7.69700934815176</v>
      </c>
      <c r="AC30" s="23" t="n">
        <v>8.69974164355728</v>
      </c>
      <c r="AD30" s="23" t="n">
        <v>8.46428544862225</v>
      </c>
      <c r="AE30" s="23" t="n">
        <f aca="false">IF(OR(AC30="",AD30=""),"",AC30-AD30)</f>
        <v>0.235456194935029</v>
      </c>
      <c r="AF30" s="23" t="n">
        <f aca="false">IF(OR(AC30="",AD30="",AD30=0),"",AC30/AD30-1)</f>
        <v>0.0278176104012837</v>
      </c>
      <c r="AG30" s="23" t="n">
        <v>9.14888942207522</v>
      </c>
      <c r="AH30" s="23" t="n">
        <v>8.75345682476126</v>
      </c>
      <c r="AI30" s="23" t="n">
        <v>10.1204659390784</v>
      </c>
      <c r="AJ30" s="23" t="n">
        <v>10.2844123721585</v>
      </c>
      <c r="AK30" s="23" t="n">
        <f aca="false">IF(OR(AI30="",AJ30=""),"",AI30-AJ30)</f>
        <v>-0.163946433080117</v>
      </c>
      <c r="AL30" s="23" t="n">
        <f aca="false">IF(OR(AI30="",AJ30="",AJ30=0),"",AI30/AJ30-1)</f>
        <v>-0.0159412543125892</v>
      </c>
      <c r="AM30" s="23" t="n">
        <v>0</v>
      </c>
      <c r="AN30" s="23" t="s">
        <v>169</v>
      </c>
      <c r="AO30" s="23" t="s">
        <v>314</v>
      </c>
      <c r="AP30" s="23" t="s">
        <v>80</v>
      </c>
    </row>
    <row r="31" customFormat="false" ht="15" hidden="false" customHeight="false" outlineLevel="0" collapsed="false">
      <c r="A31" s="23" t="n">
        <v>29</v>
      </c>
      <c r="B31" s="23" t="n">
        <v>63</v>
      </c>
      <c r="C31" s="23" t="n">
        <v>13</v>
      </c>
      <c r="D31" s="23" t="s">
        <v>157</v>
      </c>
      <c r="E31" s="23" t="s">
        <v>158</v>
      </c>
      <c r="F31" s="23" t="s">
        <v>159</v>
      </c>
      <c r="G31" s="23" t="s">
        <v>222</v>
      </c>
      <c r="H31" s="23" t="s">
        <v>161</v>
      </c>
      <c r="I31" s="23" t="s">
        <v>162</v>
      </c>
      <c r="J31" s="23" t="n">
        <v>46250.4700070486</v>
      </c>
      <c r="K31" s="23" t="n">
        <v>1</v>
      </c>
      <c r="L31" s="23" t="n">
        <v>3</v>
      </c>
      <c r="M31" s="23" t="n">
        <f aca="false">IF(OR(K31="",L31=""),"",K31*L31*3)</f>
        <v>9</v>
      </c>
      <c r="N31" s="23" t="s">
        <v>163</v>
      </c>
      <c r="O31" s="23" t="n">
        <v>8.595358</v>
      </c>
      <c r="P31" s="23" t="n">
        <v>8.814107</v>
      </c>
      <c r="Q31" s="23" t="n">
        <v>9.596545</v>
      </c>
      <c r="R31" s="23" t="s">
        <v>164</v>
      </c>
      <c r="S31" s="23" t="s">
        <v>132</v>
      </c>
      <c r="T31" s="23" t="s">
        <v>18</v>
      </c>
      <c r="U31" s="23" t="s">
        <v>166</v>
      </c>
      <c r="V31" s="23" t="s">
        <v>207</v>
      </c>
      <c r="W31" s="23" t="s">
        <v>207</v>
      </c>
      <c r="X31" s="23" t="n">
        <v>9.596545</v>
      </c>
      <c r="Y31" s="23" t="n">
        <f aca="false">IF(OR(Q31="",X31=""),"",Q31-X31)</f>
        <v>0</v>
      </c>
      <c r="Z31" s="23" t="n">
        <f aca="false">IF(OR(Q31="",X31="",X31=0),"",Q31/X31-1)</f>
        <v>0</v>
      </c>
      <c r="AA31" s="23" t="n">
        <v>8.34255793563337</v>
      </c>
      <c r="AB31" s="23" t="n">
        <v>8.13137966566901</v>
      </c>
      <c r="AC31" s="23" t="n">
        <v>8.46428544862225</v>
      </c>
      <c r="AD31" s="23" t="n">
        <v>8.46428544862225</v>
      </c>
      <c r="AE31" s="23" t="n">
        <f aca="false">IF(OR(AC31="",AD31=""),"",AC31-AD31)</f>
        <v>0</v>
      </c>
      <c r="AF31" s="23" t="n">
        <f aca="false">IF(OR(AC31="",AD31="",AD31=0),"",AC31/AD31-1)</f>
        <v>0</v>
      </c>
      <c r="AG31" s="23" t="n">
        <v>8.72759106758797</v>
      </c>
      <c r="AH31" s="23" t="n">
        <v>9.20034776508302</v>
      </c>
      <c r="AI31" s="23" t="n">
        <v>10.2844123721585</v>
      </c>
      <c r="AJ31" s="23" t="n">
        <v>10.2844123721585</v>
      </c>
      <c r="AK31" s="23" t="n">
        <f aca="false">IF(OR(AI31="",AJ31=""),"",AI31-AJ31)</f>
        <v>0</v>
      </c>
      <c r="AL31" s="23" t="n">
        <f aca="false">IF(OR(AI31="",AJ31="",AJ31=0),"",AI31/AJ31-1)</f>
        <v>0</v>
      </c>
      <c r="AM31" s="23" t="n">
        <v>0</v>
      </c>
      <c r="AN31" s="23" t="s">
        <v>169</v>
      </c>
      <c r="AO31" s="23" t="s">
        <v>315</v>
      </c>
      <c r="AP31" s="23" t="s">
        <v>80</v>
      </c>
    </row>
    <row r="32" customFormat="false" ht="15" hidden="false" customHeight="false" outlineLevel="0" collapsed="false">
      <c r="A32" s="23" t="n">
        <v>30</v>
      </c>
      <c r="B32" s="23" t="n">
        <v>38</v>
      </c>
      <c r="C32" s="23" t="n">
        <v>32</v>
      </c>
      <c r="D32" s="23" t="s">
        <v>157</v>
      </c>
      <c r="E32" s="23" t="s">
        <v>219</v>
      </c>
      <c r="F32" s="23" t="s">
        <v>220</v>
      </c>
      <c r="G32" s="23" t="s">
        <v>316</v>
      </c>
      <c r="H32" s="23" t="s">
        <v>174</v>
      </c>
      <c r="I32" s="23" t="s">
        <v>162</v>
      </c>
      <c r="J32" s="23" t="n">
        <v>46250.3273976505</v>
      </c>
      <c r="K32" s="23" t="n">
        <v>1</v>
      </c>
      <c r="L32" s="23" t="n">
        <v>3</v>
      </c>
      <c r="M32" s="23" t="n">
        <f aca="false">IF(OR(K32="",L32=""),"",K32*L32*3)</f>
        <v>9</v>
      </c>
      <c r="N32" s="23" t="s">
        <v>222</v>
      </c>
      <c r="O32" s="23" t="n">
        <v>8.965854</v>
      </c>
      <c r="P32" s="23" t="n">
        <v>8.889071</v>
      </c>
      <c r="Q32" s="23" t="n">
        <v>9.589937</v>
      </c>
      <c r="R32" s="23" t="s">
        <v>164</v>
      </c>
      <c r="S32" s="23" t="s">
        <v>317</v>
      </c>
      <c r="T32" s="23" t="s">
        <v>18</v>
      </c>
      <c r="U32" s="23" t="s">
        <v>224</v>
      </c>
      <c r="V32" s="23" t="s">
        <v>318</v>
      </c>
      <c r="W32" s="23" t="s">
        <v>319</v>
      </c>
      <c r="X32" s="23" t="n">
        <v>9.758152</v>
      </c>
      <c r="Y32" s="23" t="n">
        <f aca="false">IF(OR(Q32="",X32=""),"",Q32-X32)</f>
        <v>-0.168215</v>
      </c>
      <c r="Z32" s="23" t="n">
        <f aca="false">IF(OR(Q32="",X32="",X32=0),"",Q32/X32-1)</f>
        <v>-0.0172384074361621</v>
      </c>
      <c r="AA32" s="23" t="n">
        <v>8.338036</v>
      </c>
      <c r="AB32" s="23" t="n">
        <v>8.201101</v>
      </c>
      <c r="AC32" s="23" t="n">
        <v>8.744113</v>
      </c>
      <c r="AD32" s="23" t="n">
        <v>8.74138</v>
      </c>
      <c r="AE32" s="23" t="n">
        <f aca="false">IF(OR(AC32="",AD32=""),"",AC32-AD32)</f>
        <v>0.00273300000000098</v>
      </c>
      <c r="AF32" s="23" t="n">
        <f aca="false">IF(OR(AC32="",AD32="",AD32=0),"",AC32/AD32-1)</f>
        <v>0.000312650862907438</v>
      </c>
      <c r="AG32" s="23" t="n">
        <v>9.316604</v>
      </c>
      <c r="AH32" s="23" t="n">
        <v>9.278235</v>
      </c>
      <c r="AI32" s="23" t="n">
        <v>10.07733</v>
      </c>
      <c r="AJ32" s="23" t="n">
        <v>10.360716</v>
      </c>
      <c r="AK32" s="23" t="n">
        <f aca="false">IF(OR(AI32="",AJ32=""),"",AI32-AJ32)</f>
        <v>-0.283386</v>
      </c>
      <c r="AL32" s="23" t="n">
        <f aca="false">IF(OR(AI32="",AJ32="",AJ32=0),"",AI32/AJ32-1)</f>
        <v>-0.0273519706553099</v>
      </c>
      <c r="AM32" s="23" t="n">
        <v>0</v>
      </c>
      <c r="AN32" s="23"/>
      <c r="AO32" s="23" t="s">
        <v>320</v>
      </c>
      <c r="AP32" s="23" t="s">
        <v>71</v>
      </c>
    </row>
    <row r="33" customFormat="false" ht="15" hidden="false" customHeight="false" outlineLevel="0" collapsed="false">
      <c r="A33" s="23" t="n">
        <v>31</v>
      </c>
      <c r="B33" s="23" t="n">
        <v>57</v>
      </c>
      <c r="C33" s="23" t="n">
        <v>19</v>
      </c>
      <c r="D33" s="23" t="s">
        <v>157</v>
      </c>
      <c r="E33" s="23" t="s">
        <v>265</v>
      </c>
      <c r="F33" s="23" t="s">
        <v>266</v>
      </c>
      <c r="G33" s="23" t="s">
        <v>321</v>
      </c>
      <c r="H33" s="23" t="s">
        <v>174</v>
      </c>
      <c r="I33" s="23" t="s">
        <v>175</v>
      </c>
      <c r="J33" s="23" t="n">
        <v>46249.6240634375</v>
      </c>
      <c r="K33" s="23" t="n">
        <v>1</v>
      </c>
      <c r="L33" s="23" t="n">
        <v>3</v>
      </c>
      <c r="M33" s="23" t="n">
        <f aca="false">IF(OR(K33="",L33=""),"",K33*L33*3)</f>
        <v>9</v>
      </c>
      <c r="N33" s="23" t="s">
        <v>268</v>
      </c>
      <c r="O33" s="23" t="n">
        <v>9.341364</v>
      </c>
      <c r="P33" s="23" t="n">
        <v>8.443487</v>
      </c>
      <c r="Q33" s="23" t="n">
        <v>9.589398</v>
      </c>
      <c r="R33" s="23" t="s">
        <v>164</v>
      </c>
      <c r="S33" s="23" t="s">
        <v>322</v>
      </c>
      <c r="T33" s="23" t="s">
        <v>18</v>
      </c>
      <c r="U33" s="23" t="s">
        <v>270</v>
      </c>
      <c r="V33" s="23" t="s">
        <v>323</v>
      </c>
      <c r="W33" s="23" t="s">
        <v>324</v>
      </c>
      <c r="X33" s="23" t="n">
        <v>9.030784</v>
      </c>
      <c r="Y33" s="23" t="n">
        <f aca="false">IF(OR(Q33="",X33=""),"",Q33-X33)</f>
        <v>0.558613999999999</v>
      </c>
      <c r="Z33" s="23" t="n">
        <f aca="false">IF(OR(Q33="",X33="",X33=0),"",Q33/X33-1)</f>
        <v>0.0618566450044646</v>
      </c>
      <c r="AA33" s="23" t="n">
        <v>9.15220731239231</v>
      </c>
      <c r="AB33" s="23" t="n">
        <v>7.43287557518153</v>
      </c>
      <c r="AC33" s="23" t="n">
        <v>8.57899101658447</v>
      </c>
      <c r="AD33" s="23" t="n">
        <v>7.92485409035487</v>
      </c>
      <c r="AE33" s="23" t="n">
        <f aca="false">IF(OR(AC33="",AD33=""),"",AC33-AD33)</f>
        <v>0.654136926229604</v>
      </c>
      <c r="AF33" s="23" t="n">
        <f aca="false">IF(OR(AC33="",AD33="",AD33=0),"",AC33/AD33-1)</f>
        <v>0.0825424567785718</v>
      </c>
      <c r="AG33" s="23" t="n">
        <v>9.43890576206868</v>
      </c>
      <c r="AH33" s="23" t="n">
        <v>9.05936542906909</v>
      </c>
      <c r="AI33" s="23" t="n">
        <v>10.1894374579592</v>
      </c>
      <c r="AJ33" s="23" t="n">
        <v>9.70818320266672</v>
      </c>
      <c r="AK33" s="23" t="n">
        <f aca="false">IF(OR(AI33="",AJ33=""),"",AI33-AJ33)</f>
        <v>0.48125425529245</v>
      </c>
      <c r="AL33" s="23" t="n">
        <f aca="false">IF(OR(AI33="",AJ33="",AJ33=0),"",AI33/AJ33-1)</f>
        <v>0.0495720203508578</v>
      </c>
      <c r="AM33" s="23" t="n">
        <v>0</v>
      </c>
      <c r="AN33" s="23"/>
      <c r="AO33" s="23" t="s">
        <v>325</v>
      </c>
      <c r="AP33" s="23" t="s">
        <v>274</v>
      </c>
    </row>
    <row r="34" customFormat="false" ht="15" hidden="false" customHeight="false" outlineLevel="0" collapsed="false">
      <c r="A34" s="23" t="n">
        <v>32</v>
      </c>
      <c r="B34" s="23" t="n">
        <v>55</v>
      </c>
      <c r="C34" s="23" t="n">
        <v>20</v>
      </c>
      <c r="D34" s="23" t="s">
        <v>157</v>
      </c>
      <c r="E34" s="23" t="s">
        <v>171</v>
      </c>
      <c r="F34" s="23" t="s">
        <v>172</v>
      </c>
      <c r="G34" s="23" t="s">
        <v>326</v>
      </c>
      <c r="H34" s="23" t="s">
        <v>174</v>
      </c>
      <c r="I34" s="23" t="s">
        <v>175</v>
      </c>
      <c r="J34" s="23" t="n">
        <v>46249.8763513889</v>
      </c>
      <c r="K34" s="23" t="n">
        <v>1</v>
      </c>
      <c r="L34" s="23" t="n">
        <v>3</v>
      </c>
      <c r="M34" s="23" t="n">
        <f aca="false">IF(OR(K34="",L34=""),"",K34*L34*3)</f>
        <v>9</v>
      </c>
      <c r="N34" s="23" t="s">
        <v>176</v>
      </c>
      <c r="O34" s="23" t="n">
        <v>8.835921</v>
      </c>
      <c r="P34" s="23" t="n">
        <v>8.375642</v>
      </c>
      <c r="Q34" s="23" t="n">
        <v>9.572812</v>
      </c>
      <c r="R34" s="23" t="s">
        <v>164</v>
      </c>
      <c r="S34" s="23" t="s">
        <v>327</v>
      </c>
      <c r="T34" s="23" t="s">
        <v>18</v>
      </c>
      <c r="U34" s="23" t="s">
        <v>178</v>
      </c>
      <c r="V34" s="23" t="s">
        <v>328</v>
      </c>
      <c r="W34" s="23" t="s">
        <v>329</v>
      </c>
      <c r="X34" s="23" t="n">
        <v>9.874782</v>
      </c>
      <c r="Y34" s="23" t="n">
        <f aca="false">IF(OR(Q34="",X34=""),"",Q34-X34)</f>
        <v>-0.301969999999999</v>
      </c>
      <c r="Z34" s="23" t="n">
        <f aca="false">IF(OR(Q34="",X34="",X34=0),"",Q34/X34-1)</f>
        <v>-0.0305799155869971</v>
      </c>
      <c r="AA34" s="23" t="n">
        <v>8.258601</v>
      </c>
      <c r="AB34" s="23" t="n">
        <v>8.270678</v>
      </c>
      <c r="AC34" s="23" t="n">
        <v>8.592304</v>
      </c>
      <c r="AD34" s="23" t="n">
        <v>8.895737</v>
      </c>
      <c r="AE34" s="23" t="n">
        <f aca="false">IF(OR(AC34="",AD34=""),"",AC34-AD34)</f>
        <v>-0.303433</v>
      </c>
      <c r="AF34" s="23" t="n">
        <f aca="false">IF(OR(AC34="",AD34="",AD34=0),"",AC34/AD34-1)</f>
        <v>-0.0341099337806412</v>
      </c>
      <c r="AG34" s="23" t="n">
        <v>9.155947</v>
      </c>
      <c r="AH34" s="23" t="n">
        <v>8.429129</v>
      </c>
      <c r="AI34" s="23" t="n">
        <v>10.152061</v>
      </c>
      <c r="AJ34" s="23" t="n">
        <v>10.449825</v>
      </c>
      <c r="AK34" s="23" t="n">
        <f aca="false">IF(OR(AI34="",AJ34=""),"",AI34-AJ34)</f>
        <v>-0.297764000000001</v>
      </c>
      <c r="AL34" s="23" t="n">
        <f aca="false">IF(OR(AI34="",AJ34="",AJ34=0),"",AI34/AJ34-1)</f>
        <v>-0.0284946398623901</v>
      </c>
      <c r="AM34" s="23" t="n">
        <v>0</v>
      </c>
      <c r="AN34" s="23"/>
      <c r="AO34" s="23" t="s">
        <v>330</v>
      </c>
      <c r="AP34" s="23" t="s">
        <v>183</v>
      </c>
    </row>
    <row r="35" customFormat="false" ht="15" hidden="false" customHeight="false" outlineLevel="0" collapsed="false">
      <c r="A35" s="23" t="n">
        <v>33</v>
      </c>
      <c r="B35" s="23" t="n">
        <v>3</v>
      </c>
      <c r="C35" s="23" t="n">
        <v>77</v>
      </c>
      <c r="D35" s="23" t="s">
        <v>157</v>
      </c>
      <c r="E35" s="23" t="s">
        <v>158</v>
      </c>
      <c r="F35" s="23" t="s">
        <v>159</v>
      </c>
      <c r="G35" s="23" t="s">
        <v>331</v>
      </c>
      <c r="H35" s="23" t="s">
        <v>161</v>
      </c>
      <c r="I35" s="23" t="s">
        <v>162</v>
      </c>
      <c r="J35" s="23" t="n">
        <v>46250.5065752778</v>
      </c>
      <c r="K35" s="23" t="n">
        <v>1</v>
      </c>
      <c r="L35" s="23" t="n">
        <v>3</v>
      </c>
      <c r="M35" s="23" t="n">
        <f aca="false">IF(OR(K35="",L35=""),"",K35*L35*3)</f>
        <v>9</v>
      </c>
      <c r="N35" s="23" t="s">
        <v>163</v>
      </c>
      <c r="O35" s="23" t="n">
        <v>9.351376</v>
      </c>
      <c r="P35" s="23" t="n">
        <v>8.981572</v>
      </c>
      <c r="Q35" s="23" t="n">
        <v>9.54268</v>
      </c>
      <c r="R35" s="23" t="s">
        <v>164</v>
      </c>
      <c r="S35" s="23" t="s">
        <v>332</v>
      </c>
      <c r="T35" s="23" t="s">
        <v>18</v>
      </c>
      <c r="U35" s="23" t="s">
        <v>166</v>
      </c>
      <c r="V35" s="23" t="s">
        <v>333</v>
      </c>
      <c r="W35" s="23" t="s">
        <v>334</v>
      </c>
      <c r="X35" s="23" t="n">
        <v>9.596545</v>
      </c>
      <c r="Y35" s="23" t="n">
        <f aca="false">IF(OR(Q35="",X35=""),"",Q35-X35)</f>
        <v>-0.0538650000000001</v>
      </c>
      <c r="Z35" s="23" t="n">
        <f aca="false">IF(OR(Q35="",X35="",X35=0),"",Q35/X35-1)</f>
        <v>-0.00561295758004576</v>
      </c>
      <c r="AA35" s="23" t="n">
        <v>9.03542628498099</v>
      </c>
      <c r="AB35" s="23" t="n">
        <v>8.45505636226304</v>
      </c>
      <c r="AC35" s="23" t="n">
        <v>9.71143406215337</v>
      </c>
      <c r="AD35" s="23" t="n">
        <v>8.46428544862225</v>
      </c>
      <c r="AE35" s="23" t="n">
        <f aca="false">IF(OR(AC35="",AD35=""),"",AC35-AD35)</f>
        <v>1.24714861353112</v>
      </c>
      <c r="AF35" s="23" t="n">
        <f aca="false">IF(OR(AC35="",AD35="",AD35=0),"",AC35/AD35-1)</f>
        <v>0.147342456856075</v>
      </c>
      <c r="AG35" s="23" t="n">
        <v>9.51778476249504</v>
      </c>
      <c r="AH35" s="23" t="n">
        <v>9.27020981981972</v>
      </c>
      <c r="AI35" s="23" t="n">
        <v>9.46048290763934</v>
      </c>
      <c r="AJ35" s="23" t="n">
        <v>10.2844123721585</v>
      </c>
      <c r="AK35" s="23" t="n">
        <f aca="false">IF(OR(AI35="",AJ35=""),"",AI35-AJ35)</f>
        <v>-0.823929464519146</v>
      </c>
      <c r="AL35" s="23" t="n">
        <f aca="false">IF(OR(AI35="",AJ35="",AJ35=0),"",AI35/AJ35-1)</f>
        <v>-0.0801143939686484</v>
      </c>
      <c r="AM35" s="23" t="n">
        <v>0</v>
      </c>
      <c r="AN35" s="23" t="s">
        <v>169</v>
      </c>
      <c r="AO35" s="23" t="s">
        <v>335</v>
      </c>
      <c r="AP35" s="23" t="s">
        <v>80</v>
      </c>
    </row>
    <row r="36" customFormat="false" ht="15" hidden="false" customHeight="false" outlineLevel="0" collapsed="false">
      <c r="A36" s="23" t="n">
        <v>34</v>
      </c>
      <c r="B36" s="23" t="n">
        <v>58</v>
      </c>
      <c r="C36" s="23" t="n">
        <v>26</v>
      </c>
      <c r="D36" s="23" t="s">
        <v>157</v>
      </c>
      <c r="E36" s="23" t="s">
        <v>336</v>
      </c>
      <c r="F36" s="23" t="s">
        <v>337</v>
      </c>
      <c r="G36" s="23" t="s">
        <v>338</v>
      </c>
      <c r="H36" s="23" t="s">
        <v>174</v>
      </c>
      <c r="I36" s="23" t="s">
        <v>175</v>
      </c>
      <c r="J36" s="23" t="n">
        <v>46249.7046929282</v>
      </c>
      <c r="K36" s="23" t="n">
        <v>1</v>
      </c>
      <c r="L36" s="23" t="n">
        <v>3</v>
      </c>
      <c r="M36" s="23" t="n">
        <f aca="false">IF(OR(K36="",L36=""),"",K36*L36*3)</f>
        <v>9</v>
      </c>
      <c r="N36" s="23" t="s">
        <v>339</v>
      </c>
      <c r="O36" s="23" t="n">
        <v>8.90487</v>
      </c>
      <c r="P36" s="23" t="n">
        <v>8.585006</v>
      </c>
      <c r="Q36" s="23" t="n">
        <v>9.540167</v>
      </c>
      <c r="R36" s="23" t="s">
        <v>164</v>
      </c>
      <c r="S36" s="23" t="s">
        <v>340</v>
      </c>
      <c r="T36" s="23" t="s">
        <v>18</v>
      </c>
      <c r="U36" s="23" t="s">
        <v>341</v>
      </c>
      <c r="V36" s="23" t="s">
        <v>342</v>
      </c>
      <c r="W36" s="23" t="s">
        <v>343</v>
      </c>
      <c r="X36" s="23" t="n">
        <v>8.454125</v>
      </c>
      <c r="Y36" s="23" t="n">
        <f aca="false">IF(OR(Q36="",X36=""),"",Q36-X36)</f>
        <v>1.086042</v>
      </c>
      <c r="Z36" s="23" t="n">
        <f aca="false">IF(OR(Q36="",X36="",X36=0),"",Q36/X36-1)</f>
        <v>0.128462969260568</v>
      </c>
      <c r="AA36" s="23" t="n">
        <v>8.50042090961134</v>
      </c>
      <c r="AB36" s="23" t="n">
        <v>7.68063565746608</v>
      </c>
      <c r="AC36" s="23" t="n">
        <v>8.56745573002834</v>
      </c>
      <c r="AD36" s="23" t="n">
        <v>6.85680852605532</v>
      </c>
      <c r="AE36" s="23" t="n">
        <f aca="false">IF(OR(AC36="",AD36=""),"",AC36-AD36)</f>
        <v>1.71064720397302</v>
      </c>
      <c r="AF36" s="23" t="n">
        <f aca="false">IF(OR(AC36="",AD36="",AD36=0),"",AC36/AD36-1)</f>
        <v>0.249481547788989</v>
      </c>
      <c r="AG36" s="23" t="n">
        <v>9.12187865618784</v>
      </c>
      <c r="AH36" s="23" t="n">
        <v>9.12205181038333</v>
      </c>
      <c r="AI36" s="23" t="n">
        <v>10.1143356545557</v>
      </c>
      <c r="AJ36" s="23" t="n">
        <v>9.56864955918712</v>
      </c>
      <c r="AK36" s="23" t="n">
        <f aca="false">IF(OR(AI36="",AJ36=""),"",AI36-AJ36)</f>
        <v>0.545686095368602</v>
      </c>
      <c r="AL36" s="23" t="n">
        <f aca="false">IF(OR(AI36="",AJ36="",AJ36=0),"",AI36/AJ36-1)</f>
        <v>0.0570285380390667</v>
      </c>
      <c r="AM36" s="23" t="n">
        <v>0</v>
      </c>
      <c r="AN36" s="23"/>
      <c r="AO36" s="23" t="s">
        <v>344</v>
      </c>
      <c r="AP36" s="23" t="s">
        <v>345</v>
      </c>
    </row>
    <row r="37" customFormat="false" ht="15" hidden="false" customHeight="false" outlineLevel="0" collapsed="false">
      <c r="A37" s="23" t="n">
        <v>35</v>
      </c>
      <c r="B37" s="23" t="n">
        <v>36</v>
      </c>
      <c r="C37" s="23" t="n">
        <v>36</v>
      </c>
      <c r="D37" s="23" t="s">
        <v>157</v>
      </c>
      <c r="E37" s="23" t="s">
        <v>158</v>
      </c>
      <c r="F37" s="23" t="s">
        <v>159</v>
      </c>
      <c r="G37" s="23" t="s">
        <v>346</v>
      </c>
      <c r="H37" s="23" t="s">
        <v>161</v>
      </c>
      <c r="I37" s="23" t="s">
        <v>162</v>
      </c>
      <c r="J37" s="23" t="n">
        <v>46250.5976984375</v>
      </c>
      <c r="K37" s="23" t="n">
        <v>1</v>
      </c>
      <c r="L37" s="23" t="n">
        <v>3</v>
      </c>
      <c r="M37" s="23" t="n">
        <f aca="false">IF(OR(K37="",L37=""),"",K37*L37*3)</f>
        <v>9</v>
      </c>
      <c r="N37" s="23" t="s">
        <v>163</v>
      </c>
      <c r="O37" s="23" t="n">
        <v>8.912336</v>
      </c>
      <c r="P37" s="23" t="n">
        <v>8.821008</v>
      </c>
      <c r="Q37" s="23" t="n">
        <v>9.540019</v>
      </c>
      <c r="R37" s="23" t="s">
        <v>164</v>
      </c>
      <c r="S37" s="23" t="s">
        <v>347</v>
      </c>
      <c r="T37" s="23" t="s">
        <v>18</v>
      </c>
      <c r="U37" s="23" t="s">
        <v>166</v>
      </c>
      <c r="V37" s="23" t="s">
        <v>348</v>
      </c>
      <c r="W37" s="23" t="s">
        <v>349</v>
      </c>
      <c r="X37" s="23" t="n">
        <v>9.596545</v>
      </c>
      <c r="Y37" s="23" t="n">
        <f aca="false">IF(OR(Q37="",X37=""),"",Q37-X37)</f>
        <v>-0.0565260000000016</v>
      </c>
      <c r="Z37" s="23" t="n">
        <f aca="false">IF(OR(Q37="",X37="",X37=0),"",Q37/X37-1)</f>
        <v>-0.00589024487458789</v>
      </c>
      <c r="AA37" s="23" t="n">
        <v>8.3232755701039</v>
      </c>
      <c r="AB37" s="23" t="n">
        <v>8.1076681918606</v>
      </c>
      <c r="AC37" s="23" t="n">
        <v>8.76109685586165</v>
      </c>
      <c r="AD37" s="23" t="n">
        <v>8.46428544862225</v>
      </c>
      <c r="AE37" s="23" t="n">
        <f aca="false">IF(OR(AC37="",AD37=""),"",AC37-AD37)</f>
        <v>0.296811407239403</v>
      </c>
      <c r="AF37" s="23" t="n">
        <f aca="false">IF(OR(AC37="",AD37="",AD37=0),"",AC37/AD37-1)</f>
        <v>0.0350663276942906</v>
      </c>
      <c r="AG37" s="23" t="n">
        <v>9.23927984105414</v>
      </c>
      <c r="AH37" s="23" t="n">
        <v>9.22691588337315</v>
      </c>
      <c r="AI37" s="23" t="n">
        <v>9.98383523640746</v>
      </c>
      <c r="AJ37" s="23" t="n">
        <v>10.2844123721585</v>
      </c>
      <c r="AK37" s="23" t="n">
        <f aca="false">IF(OR(AI37="",AJ37=""),"",AI37-AJ37)</f>
        <v>-0.300577135751029</v>
      </c>
      <c r="AL37" s="23" t="n">
        <f aca="false">IF(OR(AI37="",AJ37="",AJ37=0),"",AI37/AJ37-1)</f>
        <v>-0.0292264764260852</v>
      </c>
      <c r="AM37" s="23" t="n">
        <v>0</v>
      </c>
      <c r="AN37" s="23" t="s">
        <v>169</v>
      </c>
      <c r="AO37" s="23" t="s">
        <v>350</v>
      </c>
      <c r="AP37" s="23" t="s">
        <v>80</v>
      </c>
    </row>
    <row r="38" customFormat="false" ht="15" hidden="false" customHeight="false" outlineLevel="0" collapsed="false">
      <c r="A38" s="23" t="n">
        <v>36</v>
      </c>
      <c r="B38" s="23" t="n">
        <v>56</v>
      </c>
      <c r="C38" s="23" t="n">
        <v>31</v>
      </c>
      <c r="D38" s="23" t="s">
        <v>157</v>
      </c>
      <c r="E38" s="23" t="s">
        <v>171</v>
      </c>
      <c r="F38" s="23" t="s">
        <v>172</v>
      </c>
      <c r="G38" s="23" t="s">
        <v>351</v>
      </c>
      <c r="H38" s="23" t="s">
        <v>174</v>
      </c>
      <c r="I38" s="23" t="s">
        <v>175</v>
      </c>
      <c r="J38" s="23" t="n">
        <v>46249.8706856597</v>
      </c>
      <c r="K38" s="23" t="n">
        <v>1</v>
      </c>
      <c r="L38" s="23" t="n">
        <v>3</v>
      </c>
      <c r="M38" s="23" t="n">
        <f aca="false">IF(OR(K38="",L38=""),"",K38*L38*3)</f>
        <v>9</v>
      </c>
      <c r="N38" s="23" t="s">
        <v>176</v>
      </c>
      <c r="O38" s="23" t="n">
        <v>8.829944</v>
      </c>
      <c r="P38" s="23" t="n">
        <v>8.589998</v>
      </c>
      <c r="Q38" s="23" t="n">
        <v>9.53259</v>
      </c>
      <c r="R38" s="23" t="s">
        <v>164</v>
      </c>
      <c r="S38" s="23" t="s">
        <v>34</v>
      </c>
      <c r="T38" s="23" t="s">
        <v>18</v>
      </c>
      <c r="U38" s="23" t="s">
        <v>178</v>
      </c>
      <c r="V38" s="23" t="s">
        <v>352</v>
      </c>
      <c r="W38" s="23" t="s">
        <v>353</v>
      </c>
      <c r="X38" s="23" t="n">
        <v>9.874782</v>
      </c>
      <c r="Y38" s="23" t="n">
        <f aca="false">IF(OR(Q38="",X38=""),"",Q38-X38)</f>
        <v>-0.342191999999999</v>
      </c>
      <c r="Z38" s="23" t="n">
        <f aca="false">IF(OR(Q38="",X38="",X38=0),"",Q38/X38-1)</f>
        <v>-0.0346531194308896</v>
      </c>
      <c r="AA38" s="23" t="n">
        <v>8.218973</v>
      </c>
      <c r="AB38" s="23" t="n">
        <v>7.828733</v>
      </c>
      <c r="AC38" s="23" t="n">
        <v>8.58596</v>
      </c>
      <c r="AD38" s="23" t="n">
        <v>8.895737</v>
      </c>
      <c r="AE38" s="23" t="n">
        <f aca="false">IF(OR(AC38="",AD38=""),"",AC38-AD38)</f>
        <v>-0.309777</v>
      </c>
      <c r="AF38" s="23" t="n">
        <f aca="false">IF(OR(AC38="",AD38="",AD38=0),"",AC38/AD38-1)</f>
        <v>-0.0348230843605202</v>
      </c>
      <c r="AG38" s="23" t="n">
        <v>9.170807</v>
      </c>
      <c r="AH38" s="23" t="n">
        <v>9.028987</v>
      </c>
      <c r="AI38" s="23" t="n">
        <v>10.088748</v>
      </c>
      <c r="AJ38" s="23" t="n">
        <v>10.449825</v>
      </c>
      <c r="AK38" s="23" t="n">
        <f aca="false">IF(OR(AI38="",AJ38=""),"",AI38-AJ38)</f>
        <v>-0.361077</v>
      </c>
      <c r="AL38" s="23" t="n">
        <f aca="false">IF(OR(AI38="",AJ38="",AJ38=0),"",AI38/AJ38-1)</f>
        <v>-0.0345534016119887</v>
      </c>
      <c r="AM38" s="23" t="n">
        <v>0</v>
      </c>
      <c r="AN38" s="23"/>
      <c r="AO38" s="23" t="s">
        <v>354</v>
      </c>
      <c r="AP38" s="23" t="s">
        <v>183</v>
      </c>
    </row>
    <row r="39" customFormat="false" ht="15" hidden="false" customHeight="false" outlineLevel="0" collapsed="false">
      <c r="A39" s="23" t="n">
        <v>37</v>
      </c>
      <c r="B39" s="23" t="n">
        <v>15</v>
      </c>
      <c r="C39" s="23" t="n">
        <v>54</v>
      </c>
      <c r="D39" s="23" t="s">
        <v>157</v>
      </c>
      <c r="E39" s="23" t="s">
        <v>184</v>
      </c>
      <c r="F39" s="23" t="s">
        <v>185</v>
      </c>
      <c r="G39" s="23" t="s">
        <v>355</v>
      </c>
      <c r="H39" s="23" t="s">
        <v>174</v>
      </c>
      <c r="I39" s="23" t="s">
        <v>175</v>
      </c>
      <c r="J39" s="23" t="n">
        <v>46249.8212889815</v>
      </c>
      <c r="K39" s="23" t="n">
        <v>1</v>
      </c>
      <c r="L39" s="23" t="n">
        <v>3</v>
      </c>
      <c r="M39" s="23" t="n">
        <f aca="false">IF(OR(K39="",L39=""),"",K39*L39*3)</f>
        <v>9</v>
      </c>
      <c r="N39" s="23" t="s">
        <v>187</v>
      </c>
      <c r="O39" s="23" t="n">
        <v>9.051724</v>
      </c>
      <c r="P39" s="23" t="n">
        <v>8.738909</v>
      </c>
      <c r="Q39" s="23" t="n">
        <v>9.507167</v>
      </c>
      <c r="R39" s="23" t="s">
        <v>164</v>
      </c>
      <c r="S39" s="23" t="s">
        <v>356</v>
      </c>
      <c r="T39" s="23" t="s">
        <v>18</v>
      </c>
      <c r="U39" s="23" t="s">
        <v>178</v>
      </c>
      <c r="V39" s="23" t="s">
        <v>357</v>
      </c>
      <c r="W39" s="23" t="s">
        <v>358</v>
      </c>
      <c r="X39" s="23" t="n">
        <v>9.128501</v>
      </c>
      <c r="Y39" s="23" t="n">
        <f aca="false">IF(OR(Q39="",X39=""),"",Q39-X39)</f>
        <v>0.378666000000001</v>
      </c>
      <c r="Z39" s="23" t="n">
        <f aca="false">IF(OR(Q39="",X39="",X39=0),"",Q39/X39-1)</f>
        <v>0.0414817284897051</v>
      </c>
      <c r="AA39" s="23" t="n">
        <v>8.47173065214331</v>
      </c>
      <c r="AB39" s="23" t="n">
        <v>8.11566621730193</v>
      </c>
      <c r="AC39" s="23" t="n">
        <v>9.20696834758982</v>
      </c>
      <c r="AD39" s="23" t="n">
        <v>8.27026407471985</v>
      </c>
      <c r="AE39" s="23" t="n">
        <f aca="false">IF(OR(AC39="",AD39=""),"",AC39-AD39)</f>
        <v>0.936704272869964</v>
      </c>
      <c r="AF39" s="23" t="n">
        <f aca="false">IF(OR(AC39="",AD39="",AD39=0),"",AC39/AD39-1)</f>
        <v>0.113261712613656</v>
      </c>
      <c r="AG39" s="23" t="n">
        <v>9.37255653578835</v>
      </c>
      <c r="AH39" s="23" t="n">
        <v>9.08785955288501</v>
      </c>
      <c r="AI39" s="23" t="n">
        <v>9.664729871556</v>
      </c>
      <c r="AJ39" s="23" t="n">
        <v>9.62807248093933</v>
      </c>
      <c r="AK39" s="23" t="n">
        <f aca="false">IF(OR(AI39="",AJ39=""),"",AI39-AJ39)</f>
        <v>0.0366573906166678</v>
      </c>
      <c r="AL39" s="23" t="n">
        <f aca="false">IF(OR(AI39="",AJ39="",AJ39=0),"",AI39/AJ39-1)</f>
        <v>0.00380734468807109</v>
      </c>
      <c r="AM39" s="23" t="n">
        <v>0</v>
      </c>
      <c r="AN39" s="23"/>
      <c r="AO39" s="23" t="s">
        <v>359</v>
      </c>
      <c r="AP39" s="23" t="s">
        <v>183</v>
      </c>
    </row>
    <row r="40" customFormat="false" ht="15" hidden="false" customHeight="false" outlineLevel="0" collapsed="false">
      <c r="A40" s="23" t="n">
        <v>38</v>
      </c>
      <c r="B40" s="23" t="n">
        <v>17</v>
      </c>
      <c r="C40" s="23" t="n">
        <v>42</v>
      </c>
      <c r="D40" s="23" t="s">
        <v>157</v>
      </c>
      <c r="E40" s="23" t="s">
        <v>265</v>
      </c>
      <c r="F40" s="23" t="s">
        <v>266</v>
      </c>
      <c r="G40" s="23" t="s">
        <v>360</v>
      </c>
      <c r="H40" s="23" t="s">
        <v>174</v>
      </c>
      <c r="I40" s="23" t="s">
        <v>175</v>
      </c>
      <c r="J40" s="23" t="n">
        <v>46249.6156260764</v>
      </c>
      <c r="K40" s="23" t="n">
        <v>1</v>
      </c>
      <c r="L40" s="23" t="n">
        <v>3</v>
      </c>
      <c r="M40" s="23" t="n">
        <f aca="false">IF(OR(K40="",L40=""),"",K40*L40*3)</f>
        <v>9</v>
      </c>
      <c r="N40" s="23" t="s">
        <v>268</v>
      </c>
      <c r="O40" s="23" t="n">
        <v>8.909908</v>
      </c>
      <c r="P40" s="23" t="n">
        <v>8.357135</v>
      </c>
      <c r="Q40" s="23" t="n">
        <v>9.496714</v>
      </c>
      <c r="R40" s="23" t="s">
        <v>164</v>
      </c>
      <c r="S40" s="23" t="s">
        <v>361</v>
      </c>
      <c r="T40" s="23" t="s">
        <v>18</v>
      </c>
      <c r="U40" s="23" t="s">
        <v>270</v>
      </c>
      <c r="V40" s="23" t="s">
        <v>362</v>
      </c>
      <c r="W40" s="23" t="s">
        <v>363</v>
      </c>
      <c r="X40" s="23" t="n">
        <v>9.030784</v>
      </c>
      <c r="Y40" s="23" t="n">
        <f aca="false">IF(OR(Q40="",X40=""),"",Q40-X40)</f>
        <v>0.46593</v>
      </c>
      <c r="Z40" s="23" t="n">
        <f aca="false">IF(OR(Q40="",X40="",X40=0),"",Q40/X40-1)</f>
        <v>0.0515935272064974</v>
      </c>
      <c r="AA40" s="23" t="n">
        <v>8.36556389418504</v>
      </c>
      <c r="AB40" s="23" t="n">
        <v>7.48715768747481</v>
      </c>
      <c r="AC40" s="23" t="n">
        <v>9.05759163447542</v>
      </c>
      <c r="AD40" s="23" t="n">
        <v>7.92485409035487</v>
      </c>
      <c r="AE40" s="23" t="n">
        <f aca="false">IF(OR(AC40="",AD40=""),"",AC40-AD40)</f>
        <v>1.13273754412055</v>
      </c>
      <c r="AF40" s="23" t="n">
        <f aca="false">IF(OR(AC40="",AD40="",AD40=0),"",AC40/AD40-1)</f>
        <v>0.142934813840823</v>
      </c>
      <c r="AG40" s="23" t="n">
        <v>9.20953791287526</v>
      </c>
      <c r="AH40" s="23" t="n">
        <v>8.87261614229347</v>
      </c>
      <c r="AI40" s="23" t="n">
        <v>9.73263885346602</v>
      </c>
      <c r="AJ40" s="23" t="n">
        <v>9.70818320266672</v>
      </c>
      <c r="AK40" s="23" t="n">
        <f aca="false">IF(OR(AI40="",AJ40=""),"",AI40-AJ40)</f>
        <v>0.0244556507993003</v>
      </c>
      <c r="AL40" s="23" t="n">
        <f aca="false">IF(OR(AI40="",AJ40="",AJ40=0),"",AI40/AJ40-1)</f>
        <v>0.00251907594745249</v>
      </c>
      <c r="AM40" s="23" t="n">
        <v>0</v>
      </c>
      <c r="AN40" s="23"/>
      <c r="AO40" s="23" t="s">
        <v>364</v>
      </c>
      <c r="AP40" s="23" t="s">
        <v>274</v>
      </c>
    </row>
    <row r="41" customFormat="false" ht="15" hidden="false" customHeight="false" outlineLevel="0" collapsed="false">
      <c r="A41" s="23" t="n">
        <v>39</v>
      </c>
      <c r="B41" s="23" t="n">
        <v>51</v>
      </c>
      <c r="C41" s="23" t="n">
        <v>39</v>
      </c>
      <c r="D41" s="23" t="s">
        <v>157</v>
      </c>
      <c r="E41" s="23" t="s">
        <v>288</v>
      </c>
      <c r="F41" s="23" t="s">
        <v>289</v>
      </c>
      <c r="G41" s="23" t="s">
        <v>365</v>
      </c>
      <c r="H41" s="23" t="s">
        <v>174</v>
      </c>
      <c r="I41" s="23" t="s">
        <v>175</v>
      </c>
      <c r="J41" s="23" t="n">
        <v>46249.7633821181</v>
      </c>
      <c r="K41" s="23" t="n">
        <v>1</v>
      </c>
      <c r="L41" s="23" t="n">
        <v>3</v>
      </c>
      <c r="M41" s="23" t="n">
        <f aca="false">IF(OR(K41="",L41=""),"",K41*L41*3)</f>
        <v>9</v>
      </c>
      <c r="N41" s="23" t="s">
        <v>187</v>
      </c>
      <c r="O41" s="23" t="n">
        <v>8.854017</v>
      </c>
      <c r="P41" s="23" t="n">
        <v>8.375047</v>
      </c>
      <c r="Q41" s="23" t="n">
        <v>9.444966</v>
      </c>
      <c r="R41" s="23" t="s">
        <v>164</v>
      </c>
      <c r="S41" s="23" t="s">
        <v>203</v>
      </c>
      <c r="T41" s="23" t="s">
        <v>18</v>
      </c>
      <c r="U41" s="23" t="s">
        <v>178</v>
      </c>
      <c r="V41" s="23" t="s">
        <v>366</v>
      </c>
      <c r="W41" s="23" t="s">
        <v>205</v>
      </c>
      <c r="X41" s="23" t="n">
        <v>9.065573</v>
      </c>
      <c r="Y41" s="23" t="n">
        <f aca="false">IF(OR(Q41="",X41=""),"",Q41-X41)</f>
        <v>0.379393</v>
      </c>
      <c r="Z41" s="23" t="n">
        <f aca="false">IF(OR(Q41="",X41="",X41=0),"",Q41/X41-1)</f>
        <v>0.0418498643163538</v>
      </c>
      <c r="AA41" s="23" t="n">
        <v>8.23266275548314</v>
      </c>
      <c r="AB41" s="23" t="n">
        <v>7.38024349361393</v>
      </c>
      <c r="AC41" s="23" t="n">
        <v>8.63729286879963</v>
      </c>
      <c r="AD41" s="23" t="n">
        <v>8.18140532135893</v>
      </c>
      <c r="AE41" s="23" t="n">
        <f aca="false">IF(OR(AC41="",AD41=""),"",AC41-AD41)</f>
        <v>0.4558875474407</v>
      </c>
      <c r="AF41" s="23" t="n">
        <f aca="false">IF(OR(AC41="",AD41="",AD41=0),"",AC41/AD41-1)</f>
        <v>0.0557224009242676</v>
      </c>
      <c r="AG41" s="23" t="n">
        <v>9.20124581103802</v>
      </c>
      <c r="AH41" s="23" t="n">
        <v>8.98028513615586</v>
      </c>
      <c r="AI41" s="23" t="n">
        <v>9.90822519237343</v>
      </c>
      <c r="AJ41" s="23" t="n">
        <v>9.5834141990268</v>
      </c>
      <c r="AK41" s="23" t="n">
        <f aca="false">IF(OR(AI41="",AJ41=""),"",AI41-AJ41)</f>
        <v>0.324810993346635</v>
      </c>
      <c r="AL41" s="23" t="n">
        <f aca="false">IF(OR(AI41="",AJ41="",AJ41=0),"",AI41/AJ41-1)</f>
        <v>0.0338930350500366</v>
      </c>
      <c r="AM41" s="23" t="n">
        <v>0</v>
      </c>
      <c r="AN41" s="23"/>
      <c r="AO41" s="23" t="s">
        <v>367</v>
      </c>
      <c r="AP41" s="23" t="s">
        <v>183</v>
      </c>
    </row>
    <row r="42" customFormat="false" ht="15" hidden="false" customHeight="false" outlineLevel="0" collapsed="false">
      <c r="A42" s="23" t="n">
        <v>40</v>
      </c>
      <c r="B42" s="23" t="n">
        <v>18</v>
      </c>
      <c r="C42" s="23" t="n">
        <v>57</v>
      </c>
      <c r="D42" s="23" t="s">
        <v>157</v>
      </c>
      <c r="E42" s="23" t="s">
        <v>336</v>
      </c>
      <c r="F42" s="23" t="s">
        <v>337</v>
      </c>
      <c r="G42" s="23" t="s">
        <v>368</v>
      </c>
      <c r="H42" s="23" t="s">
        <v>174</v>
      </c>
      <c r="I42" s="23" t="s">
        <v>175</v>
      </c>
      <c r="J42" s="23" t="n">
        <v>46249.6847735301</v>
      </c>
      <c r="K42" s="23" t="n">
        <v>1</v>
      </c>
      <c r="L42" s="23" t="n">
        <v>3</v>
      </c>
      <c r="M42" s="23" t="n">
        <f aca="false">IF(OR(K42="",L42=""),"",K42*L42*3)</f>
        <v>9</v>
      </c>
      <c r="N42" s="23" t="s">
        <v>339</v>
      </c>
      <c r="O42" s="23" t="n">
        <v>9.064712</v>
      </c>
      <c r="P42" s="23" t="n">
        <v>8.537628</v>
      </c>
      <c r="Q42" s="23" t="n">
        <v>9.433802</v>
      </c>
      <c r="R42" s="23" t="s">
        <v>164</v>
      </c>
      <c r="S42" s="23" t="s">
        <v>369</v>
      </c>
      <c r="T42" s="23" t="s">
        <v>18</v>
      </c>
      <c r="U42" s="23" t="s">
        <v>341</v>
      </c>
      <c r="V42" s="23" t="s">
        <v>370</v>
      </c>
      <c r="W42" s="23" t="s">
        <v>371</v>
      </c>
      <c r="X42" s="23" t="n">
        <v>8.454125</v>
      </c>
      <c r="Y42" s="23" t="n">
        <f aca="false">IF(OR(Q42="",X42=""),"",Q42-X42)</f>
        <v>0.979677000000001</v>
      </c>
      <c r="Z42" s="23" t="n">
        <f aca="false">IF(OR(Q42="",X42="",X42=0),"",Q42/X42-1)</f>
        <v>0.115881537119454</v>
      </c>
      <c r="AA42" s="23" t="n">
        <v>8.35929434659489</v>
      </c>
      <c r="AB42" s="23" t="n">
        <v>7.79327221102328</v>
      </c>
      <c r="AC42" s="23" t="n">
        <v>9.02609822340026</v>
      </c>
      <c r="AD42" s="23" t="n">
        <v>6.85680852605532</v>
      </c>
      <c r="AE42" s="23" t="n">
        <f aca="false">IF(OR(AC42="",AD42=""),"",AC42-AD42)</f>
        <v>2.16928969734494</v>
      </c>
      <c r="AF42" s="23" t="n">
        <f aca="false">IF(OR(AC42="",AD42="",AD42=0),"",AC42/AD42-1)</f>
        <v>0.316370172668788</v>
      </c>
      <c r="AG42" s="23" t="n">
        <v>9.46403329899749</v>
      </c>
      <c r="AH42" s="23" t="n">
        <v>8.96580231899268</v>
      </c>
      <c r="AI42" s="23" t="n">
        <v>9.65178541636704</v>
      </c>
      <c r="AJ42" s="23" t="n">
        <v>9.56864955918712</v>
      </c>
      <c r="AK42" s="23" t="n">
        <f aca="false">IF(OR(AI42="",AJ42=""),"",AI42-AJ42)</f>
        <v>0.0831358571799203</v>
      </c>
      <c r="AL42" s="23" t="n">
        <f aca="false">IF(OR(AI42="",AJ42="",AJ42=0),"",AI42/AJ42-1)</f>
        <v>0.0086883584423989</v>
      </c>
      <c r="AM42" s="23" t="n">
        <v>0</v>
      </c>
      <c r="AN42" s="23"/>
      <c r="AO42" s="23" t="s">
        <v>372</v>
      </c>
      <c r="AP42" s="23" t="s">
        <v>345</v>
      </c>
    </row>
    <row r="43" customFormat="false" ht="15" hidden="false" customHeight="false" outlineLevel="0" collapsed="false">
      <c r="A43" s="23" t="n">
        <v>41</v>
      </c>
      <c r="B43" s="23" t="n">
        <v>79</v>
      </c>
      <c r="C43" s="23" t="n">
        <v>17</v>
      </c>
      <c r="D43" s="23" t="s">
        <v>157</v>
      </c>
      <c r="E43" s="23" t="s">
        <v>184</v>
      </c>
      <c r="F43" s="23" t="s">
        <v>185</v>
      </c>
      <c r="G43" s="23" t="s">
        <v>373</v>
      </c>
      <c r="H43" s="23" t="s">
        <v>174</v>
      </c>
      <c r="I43" s="23" t="s">
        <v>175</v>
      </c>
      <c r="J43" s="23" t="n">
        <v>46249.8241154167</v>
      </c>
      <c r="K43" s="23" t="n">
        <v>1</v>
      </c>
      <c r="L43" s="23" t="n">
        <v>3</v>
      </c>
      <c r="M43" s="23" t="n">
        <f aca="false">IF(OR(K43="",L43=""),"",K43*L43*3)</f>
        <v>9</v>
      </c>
      <c r="N43" s="23" t="s">
        <v>187</v>
      </c>
      <c r="O43" s="23" t="n">
        <v>9.275855</v>
      </c>
      <c r="P43" s="23" t="n">
        <v>8.97072</v>
      </c>
      <c r="Q43" s="23" t="n">
        <v>9.401196</v>
      </c>
      <c r="R43" s="23" t="s">
        <v>164</v>
      </c>
      <c r="S43" s="23" t="s">
        <v>374</v>
      </c>
      <c r="T43" s="23" t="s">
        <v>18</v>
      </c>
      <c r="U43" s="23" t="s">
        <v>178</v>
      </c>
      <c r="V43" s="23" t="s">
        <v>375</v>
      </c>
      <c r="W43" s="23" t="s">
        <v>376</v>
      </c>
      <c r="X43" s="23" t="n">
        <v>9.128501</v>
      </c>
      <c r="Y43" s="23" t="n">
        <f aca="false">IF(OR(Q43="",X43=""),"",Q43-X43)</f>
        <v>0.272695000000001</v>
      </c>
      <c r="Z43" s="23" t="n">
        <f aca="false">IF(OR(Q43="",X43="",X43=0),"",Q43/X43-1)</f>
        <v>0.0298729221807612</v>
      </c>
      <c r="AA43" s="23" t="n">
        <v>8.66045341650053</v>
      </c>
      <c r="AB43" s="23" t="n">
        <v>8.0498472000387</v>
      </c>
      <c r="AC43" s="23" t="n">
        <v>8.12065992634156</v>
      </c>
      <c r="AD43" s="23" t="n">
        <v>8.27026407471985</v>
      </c>
      <c r="AE43" s="23" t="n">
        <f aca="false">IF(OR(AC43="",AD43=""),"",AC43-AD43)</f>
        <v>-0.149604148378298</v>
      </c>
      <c r="AF43" s="23" t="n">
        <f aca="false">IF(OR(AC43="",AD43="",AD43=0),"",AC43/AD43-1)</f>
        <v>-0.0180894040415953</v>
      </c>
      <c r="AG43" s="23" t="n">
        <v>9.61756073822058</v>
      </c>
      <c r="AH43" s="23" t="n">
        <v>9.51495865295295</v>
      </c>
      <c r="AI43" s="23" t="n">
        <v>10.2058709654424</v>
      </c>
      <c r="AJ43" s="23" t="n">
        <v>9.62807248093933</v>
      </c>
      <c r="AK43" s="23" t="n">
        <f aca="false">IF(OR(AI43="",AJ43=""),"",AI43-AJ43)</f>
        <v>0.577798484503017</v>
      </c>
      <c r="AL43" s="23" t="n">
        <f aca="false">IF(OR(AI43="",AJ43="",AJ43=0),"",AI43/AJ43-1)</f>
        <v>0.0600118544648354</v>
      </c>
      <c r="AM43" s="23" t="n">
        <v>0</v>
      </c>
      <c r="AN43" s="23" t="s">
        <v>181</v>
      </c>
      <c r="AO43" s="23" t="s">
        <v>377</v>
      </c>
      <c r="AP43" s="23" t="s">
        <v>183</v>
      </c>
    </row>
    <row r="44" customFormat="false" ht="15" hidden="false" customHeight="false" outlineLevel="0" collapsed="false">
      <c r="A44" s="23" t="n">
        <v>42</v>
      </c>
      <c r="B44" s="23" t="n">
        <v>24</v>
      </c>
      <c r="C44" s="23" t="n">
        <v>51</v>
      </c>
      <c r="D44" s="23" t="s">
        <v>157</v>
      </c>
      <c r="E44" s="23" t="s">
        <v>265</v>
      </c>
      <c r="F44" s="23" t="s">
        <v>266</v>
      </c>
      <c r="G44" s="23" t="s">
        <v>378</v>
      </c>
      <c r="H44" s="23" t="s">
        <v>174</v>
      </c>
      <c r="I44" s="23" t="s">
        <v>175</v>
      </c>
      <c r="J44" s="23" t="n">
        <v>46249.6128288773</v>
      </c>
      <c r="K44" s="23" t="n">
        <v>1</v>
      </c>
      <c r="L44" s="23" t="n">
        <v>3</v>
      </c>
      <c r="M44" s="23" t="n">
        <f aca="false">IF(OR(K44="",L44=""),"",K44*L44*3)</f>
        <v>9</v>
      </c>
      <c r="N44" s="23" t="s">
        <v>268</v>
      </c>
      <c r="O44" s="23" t="n">
        <v>9.097212</v>
      </c>
      <c r="P44" s="23" t="n">
        <v>8.505685</v>
      </c>
      <c r="Q44" s="23" t="n">
        <v>9.388484</v>
      </c>
      <c r="R44" s="23" t="s">
        <v>164</v>
      </c>
      <c r="S44" s="23" t="s">
        <v>269</v>
      </c>
      <c r="T44" s="23" t="s">
        <v>18</v>
      </c>
      <c r="U44" s="23" t="s">
        <v>270</v>
      </c>
      <c r="V44" s="23" t="s">
        <v>271</v>
      </c>
      <c r="W44" s="23" t="s">
        <v>379</v>
      </c>
      <c r="X44" s="23" t="n">
        <v>9.030784</v>
      </c>
      <c r="Y44" s="23" t="n">
        <f aca="false">IF(OR(Q44="",X44=""),"",Q44-X44)</f>
        <v>0.357699999999999</v>
      </c>
      <c r="Z44" s="23" t="n">
        <f aca="false">IF(OR(Q44="",X44="",X44=0),"",Q44/X44-1)</f>
        <v>0.0396089641829547</v>
      </c>
      <c r="AA44" s="23" t="n">
        <v>8.6596032651691</v>
      </c>
      <c r="AB44" s="23" t="n">
        <v>7.64004239144042</v>
      </c>
      <c r="AC44" s="23" t="n">
        <v>8.87132183133774</v>
      </c>
      <c r="AD44" s="23" t="n">
        <v>7.92485409035487</v>
      </c>
      <c r="AE44" s="23" t="n">
        <f aca="false">IF(OR(AC44="",AD44=""),"",AC44-AD44)</f>
        <v>0.946467740982879</v>
      </c>
      <c r="AF44" s="23" t="n">
        <f aca="false">IF(OR(AC44="",AD44="",AD44=0),"",AC44/AD44-1)</f>
        <v>0.119430304986284</v>
      </c>
      <c r="AG44" s="23" t="n">
        <v>9.33303174626673</v>
      </c>
      <c r="AH44" s="23" t="n">
        <v>9.01648417104264</v>
      </c>
      <c r="AI44" s="23" t="n">
        <v>9.67035568534207</v>
      </c>
      <c r="AJ44" s="23" t="n">
        <v>9.70818320266672</v>
      </c>
      <c r="AK44" s="23" t="n">
        <f aca="false">IF(OR(AI44="",AJ44=""),"",AI44-AJ44)</f>
        <v>-0.0378275173246454</v>
      </c>
      <c r="AL44" s="23" t="n">
        <f aca="false">IF(OR(AI44="",AJ44="",AJ44=0),"",AI44/AJ44-1)</f>
        <v>-0.0038964568895089</v>
      </c>
      <c r="AM44" s="23" t="n">
        <v>0</v>
      </c>
      <c r="AN44" s="23"/>
      <c r="AO44" s="23" t="s">
        <v>380</v>
      </c>
      <c r="AP44" s="23" t="s">
        <v>274</v>
      </c>
    </row>
    <row r="45" customFormat="false" ht="15" hidden="false" customHeight="false" outlineLevel="0" collapsed="false">
      <c r="A45" s="23" t="n">
        <v>43</v>
      </c>
      <c r="B45" s="23" t="n">
        <v>37</v>
      </c>
      <c r="C45" s="23" t="n">
        <v>48</v>
      </c>
      <c r="D45" s="23" t="s">
        <v>157</v>
      </c>
      <c r="E45" s="23" t="s">
        <v>265</v>
      </c>
      <c r="F45" s="23" t="s">
        <v>266</v>
      </c>
      <c r="G45" s="23" t="s">
        <v>381</v>
      </c>
      <c r="H45" s="23" t="s">
        <v>174</v>
      </c>
      <c r="I45" s="23" t="s">
        <v>175</v>
      </c>
      <c r="J45" s="23" t="n">
        <v>46249.6016120949</v>
      </c>
      <c r="K45" s="23" t="n">
        <v>1</v>
      </c>
      <c r="L45" s="23" t="n">
        <v>3</v>
      </c>
      <c r="M45" s="23" t="n">
        <f aca="false">IF(OR(K45="",L45=""),"",K45*L45*3)</f>
        <v>9</v>
      </c>
      <c r="N45" s="23" t="s">
        <v>268</v>
      </c>
      <c r="O45" s="23" t="n">
        <v>8.884779</v>
      </c>
      <c r="P45" s="23" t="n">
        <v>8.495549</v>
      </c>
      <c r="Q45" s="23" t="n">
        <v>9.364923</v>
      </c>
      <c r="R45" s="23" t="s">
        <v>164</v>
      </c>
      <c r="S45" s="23" t="s">
        <v>382</v>
      </c>
      <c r="T45" s="23" t="s">
        <v>18</v>
      </c>
      <c r="U45" s="23" t="s">
        <v>270</v>
      </c>
      <c r="V45" s="23" t="s">
        <v>383</v>
      </c>
      <c r="W45" s="23" t="s">
        <v>384</v>
      </c>
      <c r="X45" s="23" t="n">
        <v>9.030784</v>
      </c>
      <c r="Y45" s="23" t="n">
        <f aca="false">IF(OR(Q45="",X45=""),"",Q45-X45)</f>
        <v>0.334138999999999</v>
      </c>
      <c r="Z45" s="23" t="n">
        <f aca="false">IF(OR(Q45="",X45="",X45=0),"",Q45/X45-1)</f>
        <v>0.036999999114141</v>
      </c>
      <c r="AA45" s="23" t="n">
        <v>8.92789213693818</v>
      </c>
      <c r="AB45" s="23" t="n">
        <v>7.63555680277513</v>
      </c>
      <c r="AC45" s="23" t="n">
        <v>8.76058978595671</v>
      </c>
      <c r="AD45" s="23" t="n">
        <v>7.92485409035487</v>
      </c>
      <c r="AE45" s="23" t="n">
        <f aca="false">IF(OR(AC45="",AD45=""),"",AC45-AD45)</f>
        <v>0.83573569560185</v>
      </c>
      <c r="AF45" s="23" t="n">
        <f aca="false">IF(OR(AC45="",AD45="",AD45=0),"",AC45/AD45-1)</f>
        <v>0.105457549889657</v>
      </c>
      <c r="AG45" s="23" t="n">
        <v>8.86337754470964</v>
      </c>
      <c r="AH45" s="23" t="n">
        <v>9.0025259844459</v>
      </c>
      <c r="AI45" s="23" t="n">
        <v>9.69947239464958</v>
      </c>
      <c r="AJ45" s="23" t="n">
        <v>9.70818320266672</v>
      </c>
      <c r="AK45" s="23" t="n">
        <f aca="false">IF(OR(AI45="",AJ45=""),"",AI45-AJ45)</f>
        <v>-0.00871080801713653</v>
      </c>
      <c r="AL45" s="23" t="n">
        <f aca="false">IF(OR(AI45="",AJ45="",AJ45=0),"",AI45/AJ45-1)</f>
        <v>-0.00089726448659766</v>
      </c>
      <c r="AM45" s="23" t="n">
        <v>0</v>
      </c>
      <c r="AN45" s="23"/>
      <c r="AO45" s="23" t="s">
        <v>385</v>
      </c>
      <c r="AP45" s="23" t="s">
        <v>274</v>
      </c>
    </row>
    <row r="46" customFormat="false" ht="15" hidden="false" customHeight="false" outlineLevel="0" collapsed="false">
      <c r="A46" s="23" t="n">
        <v>44</v>
      </c>
      <c r="B46" s="23" t="n">
        <v>42</v>
      </c>
      <c r="C46" s="23" t="n">
        <v>45</v>
      </c>
      <c r="D46" s="23" t="s">
        <v>157</v>
      </c>
      <c r="E46" s="23" t="s">
        <v>184</v>
      </c>
      <c r="F46" s="23" t="s">
        <v>185</v>
      </c>
      <c r="G46" s="23" t="s">
        <v>386</v>
      </c>
      <c r="H46" s="23" t="s">
        <v>174</v>
      </c>
      <c r="I46" s="23" t="s">
        <v>175</v>
      </c>
      <c r="J46" s="23" t="n">
        <v>46249.8128206366</v>
      </c>
      <c r="K46" s="23" t="n">
        <v>1</v>
      </c>
      <c r="L46" s="23" t="n">
        <v>3</v>
      </c>
      <c r="M46" s="23" t="n">
        <f aca="false">IF(OR(K46="",L46=""),"",K46*L46*3)</f>
        <v>9</v>
      </c>
      <c r="N46" s="23" t="s">
        <v>187</v>
      </c>
      <c r="O46" s="23" t="n">
        <v>9.009226</v>
      </c>
      <c r="P46" s="23" t="n">
        <v>8.582632</v>
      </c>
      <c r="Q46" s="23" t="n">
        <v>9.357255</v>
      </c>
      <c r="R46" s="23" t="s">
        <v>164</v>
      </c>
      <c r="S46" s="23" t="s">
        <v>387</v>
      </c>
      <c r="T46" s="23" t="s">
        <v>18</v>
      </c>
      <c r="U46" s="23" t="s">
        <v>178</v>
      </c>
      <c r="V46" s="23" t="s">
        <v>388</v>
      </c>
      <c r="W46" s="23" t="s">
        <v>389</v>
      </c>
      <c r="X46" s="23" t="n">
        <v>9.128501</v>
      </c>
      <c r="Y46" s="23" t="n">
        <f aca="false">IF(OR(Q46="",X46=""),"",Q46-X46)</f>
        <v>0.228754</v>
      </c>
      <c r="Z46" s="23" t="n">
        <f aca="false">IF(OR(Q46="",X46="",X46=0),"",Q46/X46-1)</f>
        <v>0.0250593169678133</v>
      </c>
      <c r="AA46" s="23" t="n">
        <v>8.75437903641477</v>
      </c>
      <c r="AB46" s="23" t="n">
        <v>7.73474101769347</v>
      </c>
      <c r="AC46" s="23" t="n">
        <v>8.71928186879284</v>
      </c>
      <c r="AD46" s="23" t="n">
        <v>8.27026407471985</v>
      </c>
      <c r="AE46" s="23" t="n">
        <f aca="false">IF(OR(AC46="",AD46=""),"",AC46-AD46)</f>
        <v>0.449017794072987</v>
      </c>
      <c r="AF46" s="23" t="n">
        <f aca="false">IF(OR(AC46="",AD46="",AD46=0),"",AC46/AD46-1)</f>
        <v>0.0542930419169472</v>
      </c>
      <c r="AG46" s="23" t="n">
        <v>9.14229551670893</v>
      </c>
      <c r="AH46" s="23" t="n">
        <v>9.08032971625934</v>
      </c>
      <c r="AI46" s="23" t="n">
        <v>9.71258085407054</v>
      </c>
      <c r="AJ46" s="23" t="n">
        <v>9.62807248093933</v>
      </c>
      <c r="AK46" s="23" t="n">
        <f aca="false">IF(OR(AI46="",AJ46=""),"",AI46-AJ46)</f>
        <v>0.0845083731312091</v>
      </c>
      <c r="AL46" s="23" t="n">
        <f aca="false">IF(OR(AI46="",AJ46="",AJ46=0),"",AI46/AJ46-1)</f>
        <v>0.00877728883933004</v>
      </c>
      <c r="AM46" s="23" t="n">
        <v>0</v>
      </c>
      <c r="AN46" s="23"/>
      <c r="AO46" s="23" t="s">
        <v>390</v>
      </c>
      <c r="AP46" s="23" t="s">
        <v>183</v>
      </c>
    </row>
    <row r="47" customFormat="false" ht="15" hidden="false" customHeight="false" outlineLevel="0" collapsed="false">
      <c r="A47" s="23" t="n">
        <v>45</v>
      </c>
      <c r="B47" s="23" t="n">
        <v>31</v>
      </c>
      <c r="C47" s="23" t="n">
        <v>59</v>
      </c>
      <c r="D47" s="23" t="s">
        <v>157</v>
      </c>
      <c r="E47" s="23" t="s">
        <v>288</v>
      </c>
      <c r="F47" s="23" t="s">
        <v>289</v>
      </c>
      <c r="G47" s="23" t="s">
        <v>391</v>
      </c>
      <c r="H47" s="23" t="s">
        <v>174</v>
      </c>
      <c r="I47" s="23" t="s">
        <v>175</v>
      </c>
      <c r="J47" s="23" t="n">
        <v>46249.7662313657</v>
      </c>
      <c r="K47" s="23" t="n">
        <v>1</v>
      </c>
      <c r="L47" s="23" t="n">
        <v>3</v>
      </c>
      <c r="M47" s="23" t="n">
        <f aca="false">IF(OR(K47="",L47=""),"",K47*L47*3)</f>
        <v>9</v>
      </c>
      <c r="N47" s="23" t="s">
        <v>187</v>
      </c>
      <c r="O47" s="23" t="n">
        <v>8.980153</v>
      </c>
      <c r="P47" s="23" t="n">
        <v>8.228289</v>
      </c>
      <c r="Q47" s="23" t="n">
        <v>9.341655</v>
      </c>
      <c r="R47" s="23" t="s">
        <v>164</v>
      </c>
      <c r="S47" s="23" t="s">
        <v>203</v>
      </c>
      <c r="T47" s="23" t="s">
        <v>18</v>
      </c>
      <c r="U47" s="23" t="s">
        <v>178</v>
      </c>
      <c r="V47" s="23" t="s">
        <v>366</v>
      </c>
      <c r="W47" s="23" t="s">
        <v>204</v>
      </c>
      <c r="X47" s="23" t="n">
        <v>9.065573</v>
      </c>
      <c r="Y47" s="23" t="n">
        <f aca="false">IF(OR(Q47="",X47=""),"",Q47-X47)</f>
        <v>0.276081999999999</v>
      </c>
      <c r="Z47" s="23" t="n">
        <f aca="false">IF(OR(Q47="",X47="",X47=0),"",Q47/X47-1)</f>
        <v>0.0304538940892096</v>
      </c>
      <c r="AA47" s="23" t="n">
        <v>8.56305729591245</v>
      </c>
      <c r="AB47" s="23" t="n">
        <v>7.45216747117143</v>
      </c>
      <c r="AC47" s="23" t="n">
        <v>8.79125656515622</v>
      </c>
      <c r="AD47" s="23" t="n">
        <v>8.18140532135893</v>
      </c>
      <c r="AE47" s="23" t="n">
        <f aca="false">IF(OR(AC47="",AD47=""),"",AC47-AD47)</f>
        <v>0.609851243797291</v>
      </c>
      <c r="AF47" s="23" t="n">
        <f aca="false">IF(OR(AC47="",AD47="",AD47=0),"",AC47/AD47-1)</f>
        <v>0.0745411356414738</v>
      </c>
      <c r="AG47" s="23" t="n">
        <v>9.20431761539924</v>
      </c>
      <c r="AH47" s="23" t="n">
        <v>8.68030250882484</v>
      </c>
      <c r="AI47" s="23" t="n">
        <v>9.64353408689687</v>
      </c>
      <c r="AJ47" s="23" t="n">
        <v>9.5834141990268</v>
      </c>
      <c r="AK47" s="23" t="n">
        <f aca="false">IF(OR(AI47="",AJ47=""),"",AI47-AJ47)</f>
        <v>0.0601198878700746</v>
      </c>
      <c r="AL47" s="23" t="n">
        <f aca="false">IF(OR(AI47="",AJ47="",AJ47=0),"",AI47/AJ47-1)</f>
        <v>0.006273326668504</v>
      </c>
      <c r="AM47" s="23" t="n">
        <v>0</v>
      </c>
      <c r="AN47" s="23"/>
      <c r="AO47" s="23" t="s">
        <v>392</v>
      </c>
      <c r="AP47" s="23" t="s">
        <v>183</v>
      </c>
    </row>
    <row r="48" customFormat="false" ht="15" hidden="false" customHeight="false" outlineLevel="0" collapsed="false">
      <c r="A48" s="23" t="n">
        <v>46</v>
      </c>
      <c r="B48" s="23" t="n">
        <v>35</v>
      </c>
      <c r="C48" s="23" t="n">
        <v>60</v>
      </c>
      <c r="D48" s="23" t="s">
        <v>157</v>
      </c>
      <c r="E48" s="23" t="s">
        <v>219</v>
      </c>
      <c r="F48" s="23" t="s">
        <v>220</v>
      </c>
      <c r="G48" s="23" t="s">
        <v>393</v>
      </c>
      <c r="H48" s="23" t="s">
        <v>174</v>
      </c>
      <c r="I48" s="23" t="s">
        <v>162</v>
      </c>
      <c r="J48" s="23" t="n">
        <v>46250.3161599537</v>
      </c>
      <c r="K48" s="23" t="n">
        <v>1</v>
      </c>
      <c r="L48" s="23" t="n">
        <v>3</v>
      </c>
      <c r="M48" s="23" t="n">
        <f aca="false">IF(OR(K48="",L48=""),"",K48*L48*3)</f>
        <v>9</v>
      </c>
      <c r="N48" s="23" t="s">
        <v>222</v>
      </c>
      <c r="O48" s="23" t="n">
        <v>9.170488</v>
      </c>
      <c r="P48" s="23" t="n">
        <v>8.834377</v>
      </c>
      <c r="Q48" s="23" t="n">
        <v>9.328219</v>
      </c>
      <c r="R48" s="23" t="s">
        <v>164</v>
      </c>
      <c r="S48" s="23" t="s">
        <v>394</v>
      </c>
      <c r="T48" s="23" t="s">
        <v>18</v>
      </c>
      <c r="U48" s="23" t="s">
        <v>224</v>
      </c>
      <c r="V48" s="23" t="s">
        <v>395</v>
      </c>
      <c r="W48" s="23" t="s">
        <v>396</v>
      </c>
      <c r="X48" s="23" t="n">
        <v>9.758152</v>
      </c>
      <c r="Y48" s="23" t="n">
        <f aca="false">IF(OR(Q48="",X48=""),"",Q48-X48)</f>
        <v>-0.429933</v>
      </c>
      <c r="Z48" s="23" t="n">
        <f aca="false">IF(OR(Q48="",X48="",X48=0),"",Q48/X48-1)</f>
        <v>-0.0440588545864012</v>
      </c>
      <c r="AA48" s="23" t="n">
        <v>8.470231</v>
      </c>
      <c r="AB48" s="23" t="n">
        <v>8.000085</v>
      </c>
      <c r="AC48" s="23" t="n">
        <v>8.76885</v>
      </c>
      <c r="AD48" s="23" t="n">
        <v>8.74138</v>
      </c>
      <c r="AE48" s="23" t="n">
        <f aca="false">IF(OR(AC48="",AD48=""),"",AC48-AD48)</f>
        <v>0.027470000000001</v>
      </c>
      <c r="AF48" s="23" t="n">
        <f aca="false">IF(OR(AC48="",AD48="",AD48=0),"",AC48/AD48-1)</f>
        <v>0.00314252440690144</v>
      </c>
      <c r="AG48" s="23" t="n">
        <v>9.565908</v>
      </c>
      <c r="AH48" s="23" t="n">
        <v>9.320366</v>
      </c>
      <c r="AI48" s="23" t="n">
        <v>9.635547</v>
      </c>
      <c r="AJ48" s="23" t="n">
        <v>10.360716</v>
      </c>
      <c r="AK48" s="23" t="n">
        <f aca="false">IF(OR(AI48="",AJ48=""),"",AI48-AJ48)</f>
        <v>-0.725168999999999</v>
      </c>
      <c r="AL48" s="23" t="n">
        <f aca="false">IF(OR(AI48="",AJ48="",AJ48=0),"",AI48/AJ48-1)</f>
        <v>-0.0699921704252872</v>
      </c>
      <c r="AM48" s="23" t="n">
        <v>0</v>
      </c>
      <c r="AN48" s="23"/>
      <c r="AO48" s="23" t="s">
        <v>397</v>
      </c>
      <c r="AP48" s="23" t="s">
        <v>71</v>
      </c>
    </row>
    <row r="49" customFormat="false" ht="15" hidden="false" customHeight="false" outlineLevel="0" collapsed="false">
      <c r="A49" s="23" t="n">
        <v>47</v>
      </c>
      <c r="B49" s="23" t="n">
        <v>83</v>
      </c>
      <c r="C49" s="23" t="n">
        <v>28</v>
      </c>
      <c r="D49" s="23" t="s">
        <v>157</v>
      </c>
      <c r="E49" s="23" t="s">
        <v>288</v>
      </c>
      <c r="F49" s="23" t="s">
        <v>289</v>
      </c>
      <c r="G49" s="23" t="s">
        <v>398</v>
      </c>
      <c r="H49" s="23" t="s">
        <v>174</v>
      </c>
      <c r="I49" s="23" t="s">
        <v>175</v>
      </c>
      <c r="J49" s="23" t="n">
        <v>46249.7805379282</v>
      </c>
      <c r="K49" s="23" t="n">
        <v>1</v>
      </c>
      <c r="L49" s="23" t="n">
        <v>3</v>
      </c>
      <c r="M49" s="23" t="n">
        <f aca="false">IF(OR(K49="",L49=""),"",K49*L49*3)</f>
        <v>9</v>
      </c>
      <c r="N49" s="23" t="s">
        <v>187</v>
      </c>
      <c r="O49" s="23" t="n">
        <v>9.209961</v>
      </c>
      <c r="P49" s="23" t="n">
        <v>8.288738</v>
      </c>
      <c r="Q49" s="23" t="n">
        <v>9.324359</v>
      </c>
      <c r="R49" s="23" t="s">
        <v>164</v>
      </c>
      <c r="S49" s="23" t="s">
        <v>399</v>
      </c>
      <c r="T49" s="23" t="s">
        <v>18</v>
      </c>
      <c r="U49" s="23" t="s">
        <v>178</v>
      </c>
      <c r="V49" s="23" t="s">
        <v>400</v>
      </c>
      <c r="W49" s="23" t="s">
        <v>401</v>
      </c>
      <c r="X49" s="23" t="n">
        <v>9.065573</v>
      </c>
      <c r="Y49" s="23" t="n">
        <f aca="false">IF(OR(Q49="",X49=""),"",Q49-X49)</f>
        <v>0.258785999999999</v>
      </c>
      <c r="Z49" s="23" t="n">
        <f aca="false">IF(OR(Q49="",X49="",X49=0),"",Q49/X49-1)</f>
        <v>0.0285460168926994</v>
      </c>
      <c r="AA49" s="23" t="n">
        <v>8.46033286788016</v>
      </c>
      <c r="AB49" s="23" t="n">
        <v>7.55588275757955</v>
      </c>
      <c r="AC49" s="23" t="n">
        <v>8.0728588976399</v>
      </c>
      <c r="AD49" s="23" t="n">
        <v>8.18140532135893</v>
      </c>
      <c r="AE49" s="23" t="n">
        <f aca="false">IF(OR(AC49="",AD49=""),"",AC49-AD49)</f>
        <v>-0.108546423719025</v>
      </c>
      <c r="AF49" s="23" t="n">
        <f aca="false">IF(OR(AC49="",AD49="",AD49=0),"",AC49/AD49-1)</f>
        <v>-0.0132674546065633</v>
      </c>
      <c r="AG49" s="23" t="n">
        <v>9.63689938759226</v>
      </c>
      <c r="AH49" s="23" t="n">
        <v>8.71119331403216</v>
      </c>
      <c r="AI49" s="23" t="n">
        <v>10.1078462954358</v>
      </c>
      <c r="AJ49" s="23" t="n">
        <v>9.5834141990268</v>
      </c>
      <c r="AK49" s="23" t="n">
        <f aca="false">IF(OR(AI49="",AJ49=""),"",AI49-AJ49)</f>
        <v>0.524432096409029</v>
      </c>
      <c r="AL49" s="23" t="n">
        <f aca="false">IF(OR(AI49="",AJ49="",AJ49=0),"",AI49/AJ49-1)</f>
        <v>0.0547228874300649</v>
      </c>
      <c r="AM49" s="23" t="n">
        <v>0</v>
      </c>
      <c r="AN49" s="23" t="s">
        <v>181</v>
      </c>
      <c r="AO49" s="23" t="s">
        <v>402</v>
      </c>
      <c r="AP49" s="23" t="s">
        <v>183</v>
      </c>
    </row>
    <row r="50" customFormat="false" ht="15" hidden="false" customHeight="false" outlineLevel="0" collapsed="false">
      <c r="A50" s="23" t="n">
        <v>48</v>
      </c>
      <c r="B50" s="23" t="n">
        <v>49</v>
      </c>
      <c r="C50" s="23" t="n">
        <v>49</v>
      </c>
      <c r="D50" s="23" t="s">
        <v>157</v>
      </c>
      <c r="E50" s="23" t="s">
        <v>403</v>
      </c>
      <c r="F50" s="23" t="s">
        <v>404</v>
      </c>
      <c r="G50" s="23" t="s">
        <v>405</v>
      </c>
      <c r="H50" s="23" t="s">
        <v>174</v>
      </c>
      <c r="I50" s="23" t="s">
        <v>175</v>
      </c>
      <c r="J50" s="23" t="n">
        <v>46249.6396125694</v>
      </c>
      <c r="K50" s="23" t="n">
        <v>1</v>
      </c>
      <c r="L50" s="23" t="n">
        <v>3</v>
      </c>
      <c r="M50" s="23" t="n">
        <f aca="false">IF(OR(K50="",L50=""),"",K50*L50*3)</f>
        <v>9</v>
      </c>
      <c r="N50" s="23" t="s">
        <v>405</v>
      </c>
      <c r="O50" s="23" t="n">
        <v>9.039951</v>
      </c>
      <c r="P50" s="23" t="n">
        <v>8.121581</v>
      </c>
      <c r="Q50" s="23" t="n">
        <v>9.314892</v>
      </c>
      <c r="R50" s="23" t="s">
        <v>164</v>
      </c>
      <c r="S50" s="23" t="s">
        <v>132</v>
      </c>
      <c r="T50" s="23" t="s">
        <v>18</v>
      </c>
      <c r="U50" s="23" t="s">
        <v>280</v>
      </c>
      <c r="V50" s="23" t="s">
        <v>207</v>
      </c>
      <c r="W50" s="23" t="s">
        <v>207</v>
      </c>
      <c r="X50" s="23" t="n">
        <v>9.314892</v>
      </c>
      <c r="Y50" s="23" t="n">
        <f aca="false">IF(OR(Q50="",X50=""),"",Q50-X50)</f>
        <v>0</v>
      </c>
      <c r="Z50" s="23" t="n">
        <f aca="false">IF(OR(Q50="",X50="",X50=0),"",Q50/X50-1)</f>
        <v>0</v>
      </c>
      <c r="AA50" s="23" t="n">
        <v>8.35695115086503</v>
      </c>
      <c r="AB50" s="23" t="n">
        <v>6.96680207724207</v>
      </c>
      <c r="AC50" s="23" t="n">
        <v>8.65305974446837</v>
      </c>
      <c r="AD50" s="23" t="n">
        <v>8.65305974446837</v>
      </c>
      <c r="AE50" s="23" t="n">
        <f aca="false">IF(OR(AC50="",AD50=""),"",AC50-AD50)</f>
        <v>0</v>
      </c>
      <c r="AF50" s="23" t="n">
        <f aca="false">IF(OR(AC50="",AD50="",AD50=0),"",AC50/AD50-1)</f>
        <v>0</v>
      </c>
      <c r="AG50" s="23" t="n">
        <v>9.42510039598204</v>
      </c>
      <c r="AH50" s="23" t="n">
        <v>8.85550053720386</v>
      </c>
      <c r="AI50" s="23" t="n">
        <v>9.68528390606302</v>
      </c>
      <c r="AJ50" s="23" t="n">
        <v>9.68528390606302</v>
      </c>
      <c r="AK50" s="23" t="n">
        <f aca="false">IF(OR(AI50="",AJ50=""),"",AI50-AJ50)</f>
        <v>0</v>
      </c>
      <c r="AL50" s="23" t="n">
        <f aca="false">IF(OR(AI50="",AJ50="",AJ50=0),"",AI50/AJ50-1)</f>
        <v>0</v>
      </c>
      <c r="AM50" s="23" t="n">
        <v>0</v>
      </c>
      <c r="AN50" s="23"/>
      <c r="AO50" s="23" t="s">
        <v>406</v>
      </c>
      <c r="AP50" s="23" t="s">
        <v>284</v>
      </c>
    </row>
    <row r="51" customFormat="false" ht="15" hidden="false" customHeight="false" outlineLevel="0" collapsed="false">
      <c r="A51" s="23" t="n">
        <v>49</v>
      </c>
      <c r="B51" s="23" t="n">
        <v>46</v>
      </c>
      <c r="C51" s="23" t="n">
        <v>58</v>
      </c>
      <c r="D51" s="23" t="s">
        <v>157</v>
      </c>
      <c r="E51" s="23" t="s">
        <v>219</v>
      </c>
      <c r="F51" s="23" t="s">
        <v>220</v>
      </c>
      <c r="G51" s="23" t="s">
        <v>407</v>
      </c>
      <c r="H51" s="23" t="s">
        <v>174</v>
      </c>
      <c r="I51" s="23" t="s">
        <v>162</v>
      </c>
      <c r="J51" s="23" t="n">
        <v>46250.3442472222</v>
      </c>
      <c r="K51" s="23" t="n">
        <v>1</v>
      </c>
      <c r="L51" s="23" t="n">
        <v>3</v>
      </c>
      <c r="M51" s="23" t="n">
        <f aca="false">IF(OR(K51="",L51=""),"",K51*L51*3)</f>
        <v>9</v>
      </c>
      <c r="N51" s="23" t="s">
        <v>222</v>
      </c>
      <c r="O51" s="23" t="n">
        <v>8.690772</v>
      </c>
      <c r="P51" s="23" t="n">
        <v>8.618268</v>
      </c>
      <c r="Q51" s="23" t="n">
        <v>9.30712</v>
      </c>
      <c r="R51" s="23" t="s">
        <v>164</v>
      </c>
      <c r="S51" s="23" t="s">
        <v>408</v>
      </c>
      <c r="T51" s="23" t="s">
        <v>18</v>
      </c>
      <c r="U51" s="23" t="s">
        <v>224</v>
      </c>
      <c r="V51" s="23" t="s">
        <v>409</v>
      </c>
      <c r="W51" s="23" t="s">
        <v>410</v>
      </c>
      <c r="X51" s="23" t="n">
        <v>9.758152</v>
      </c>
      <c r="Y51" s="23" t="n">
        <f aca="false">IF(OR(Q51="",X51=""),"",Q51-X51)</f>
        <v>-0.451032000000001</v>
      </c>
      <c r="Z51" s="23" t="n">
        <f aca="false">IF(OR(Q51="",X51="",X51=0),"",Q51/X51-1)</f>
        <v>-0.0462210467719709</v>
      </c>
      <c r="AA51" s="23" t="n">
        <v>8.322375</v>
      </c>
      <c r="AB51" s="23" t="n">
        <v>8.023529</v>
      </c>
      <c r="AC51" s="23" t="n">
        <v>8.692605</v>
      </c>
      <c r="AD51" s="23" t="n">
        <v>8.74138</v>
      </c>
      <c r="AE51" s="23" t="n">
        <f aca="false">IF(OR(AC51="",AD51=""),"",AC51-AD51)</f>
        <v>-0.0487749999999991</v>
      </c>
      <c r="AF51" s="23" t="n">
        <f aca="false">IF(OR(AC51="",AD51="",AD51=0),"",AC51/AD51-1)</f>
        <v>-0.00557978259725567</v>
      </c>
      <c r="AG51" s="23" t="n">
        <v>8.887478</v>
      </c>
      <c r="AH51" s="23" t="n">
        <v>8.949974</v>
      </c>
      <c r="AI51" s="23" t="n">
        <v>9.648153</v>
      </c>
      <c r="AJ51" s="23" t="n">
        <v>10.360716</v>
      </c>
      <c r="AK51" s="23" t="n">
        <f aca="false">IF(OR(AI51="",AJ51=""),"",AI51-AJ51)</f>
        <v>-0.712562999999999</v>
      </c>
      <c r="AL51" s="23" t="n">
        <f aca="false">IF(OR(AI51="",AJ51="",AJ51=0),"",AI51/AJ51-1)</f>
        <v>-0.068775459147804</v>
      </c>
      <c r="AM51" s="23" t="n">
        <v>0</v>
      </c>
      <c r="AN51" s="23" t="s">
        <v>243</v>
      </c>
      <c r="AO51" s="23" t="s">
        <v>411</v>
      </c>
      <c r="AP51" s="23" t="s">
        <v>71</v>
      </c>
    </row>
    <row r="52" customFormat="false" ht="15" hidden="false" customHeight="false" outlineLevel="0" collapsed="false">
      <c r="A52" s="23" t="n">
        <v>50</v>
      </c>
      <c r="B52" s="23" t="n">
        <v>50</v>
      </c>
      <c r="C52" s="23" t="n">
        <v>52</v>
      </c>
      <c r="D52" s="23" t="s">
        <v>157</v>
      </c>
      <c r="E52" s="23" t="s">
        <v>336</v>
      </c>
      <c r="F52" s="23" t="s">
        <v>337</v>
      </c>
      <c r="G52" s="23" t="s">
        <v>302</v>
      </c>
      <c r="H52" s="23" t="s">
        <v>174</v>
      </c>
      <c r="I52" s="23" t="s">
        <v>175</v>
      </c>
      <c r="J52" s="23" t="n">
        <v>46249.699011331</v>
      </c>
      <c r="K52" s="23" t="n">
        <v>1</v>
      </c>
      <c r="L52" s="23" t="n">
        <v>3</v>
      </c>
      <c r="M52" s="23" t="n">
        <f aca="false">IF(OR(K52="",L52=""),"",K52*L52*3)</f>
        <v>9</v>
      </c>
      <c r="N52" s="23" t="s">
        <v>339</v>
      </c>
      <c r="O52" s="23" t="n">
        <v>8.878531</v>
      </c>
      <c r="P52" s="23" t="n">
        <v>8.230105</v>
      </c>
      <c r="Q52" s="23" t="n">
        <v>9.304245</v>
      </c>
      <c r="R52" s="23" t="s">
        <v>164</v>
      </c>
      <c r="S52" s="23" t="s">
        <v>303</v>
      </c>
      <c r="T52" s="23" t="s">
        <v>18</v>
      </c>
      <c r="U52" s="23" t="s">
        <v>341</v>
      </c>
      <c r="V52" s="23" t="s">
        <v>304</v>
      </c>
      <c r="W52" s="23" t="s">
        <v>305</v>
      </c>
      <c r="X52" s="23" t="n">
        <v>8.454125</v>
      </c>
      <c r="Y52" s="23" t="n">
        <f aca="false">IF(OR(Q52="",X52=""),"",Q52-X52)</f>
        <v>0.85012</v>
      </c>
      <c r="Z52" s="23" t="n">
        <f aca="false">IF(OR(Q52="",X52="",X52=0),"",Q52/X52-1)</f>
        <v>0.100556828767022</v>
      </c>
      <c r="AA52" s="23" t="n">
        <v>8.24590017561069</v>
      </c>
      <c r="AB52" s="23" t="n">
        <v>7.56243671401699</v>
      </c>
      <c r="AC52" s="23" t="n">
        <v>8.65123834834114</v>
      </c>
      <c r="AD52" s="23" t="n">
        <v>6.85680852605532</v>
      </c>
      <c r="AE52" s="23" t="n">
        <f aca="false">IF(OR(AC52="",AD52=""),"",AC52-AD52)</f>
        <v>1.79442982228582</v>
      </c>
      <c r="AF52" s="23" t="n">
        <f aca="false">IF(OR(AC52="",AD52="",AD52=0),"",AC52/AD52-1)</f>
        <v>0.261700442044885</v>
      </c>
      <c r="AG52" s="23" t="n">
        <v>9.23270079527183</v>
      </c>
      <c r="AH52" s="23" t="n">
        <v>8.61019060353172</v>
      </c>
      <c r="AI52" s="23" t="n">
        <v>9.66916510246234</v>
      </c>
      <c r="AJ52" s="23" t="n">
        <v>9.56864955918712</v>
      </c>
      <c r="AK52" s="23" t="n">
        <f aca="false">IF(OR(AI52="",AJ52=""),"",AI52-AJ52)</f>
        <v>0.100515543275227</v>
      </c>
      <c r="AL52" s="23" t="n">
        <f aca="false">IF(OR(AI52="",AJ52="",AJ52=0),"",AI52/AJ52-1)</f>
        <v>0.0105046738992254</v>
      </c>
      <c r="AM52" s="23" t="n">
        <v>0</v>
      </c>
      <c r="AN52" s="23"/>
      <c r="AO52" s="23" t="s">
        <v>412</v>
      </c>
      <c r="AP52" s="23" t="s">
        <v>345</v>
      </c>
    </row>
    <row r="53" customFormat="false" ht="15" hidden="false" customHeight="false" outlineLevel="0" collapsed="false">
      <c r="A53" s="23" t="n">
        <v>51</v>
      </c>
      <c r="B53" s="23" t="n">
        <v>14</v>
      </c>
      <c r="C53" s="23" t="n">
        <v>81</v>
      </c>
      <c r="D53" s="23" t="s">
        <v>157</v>
      </c>
      <c r="E53" s="23" t="s">
        <v>219</v>
      </c>
      <c r="F53" s="23" t="s">
        <v>220</v>
      </c>
      <c r="G53" s="23" t="s">
        <v>245</v>
      </c>
      <c r="H53" s="23" t="s">
        <v>174</v>
      </c>
      <c r="I53" s="23" t="s">
        <v>162</v>
      </c>
      <c r="J53" s="23" t="n">
        <v>46250.3217806134</v>
      </c>
      <c r="K53" s="23" t="n">
        <v>1</v>
      </c>
      <c r="L53" s="23" t="n">
        <v>3</v>
      </c>
      <c r="M53" s="23" t="n">
        <f aca="false">IF(OR(K53="",L53=""),"",K53*L53*3)</f>
        <v>9</v>
      </c>
      <c r="N53" s="23" t="s">
        <v>222</v>
      </c>
      <c r="O53" s="23" t="n">
        <v>8.800845</v>
      </c>
      <c r="P53" s="23" t="n">
        <v>8.576732</v>
      </c>
      <c r="Q53" s="23" t="n">
        <v>9.268158</v>
      </c>
      <c r="R53" s="23" t="s">
        <v>164</v>
      </c>
      <c r="S53" s="23" t="s">
        <v>246</v>
      </c>
      <c r="T53" s="23" t="s">
        <v>18</v>
      </c>
      <c r="U53" s="23" t="s">
        <v>224</v>
      </c>
      <c r="V53" s="23" t="s">
        <v>247</v>
      </c>
      <c r="W53" s="23" t="s">
        <v>248</v>
      </c>
      <c r="X53" s="23" t="n">
        <v>9.758152</v>
      </c>
      <c r="Y53" s="23" t="n">
        <f aca="false">IF(OR(Q53="",X53=""),"",Q53-X53)</f>
        <v>-0.489994000000001</v>
      </c>
      <c r="Z53" s="23" t="n">
        <f aca="false">IF(OR(Q53="",X53="",X53=0),"",Q53/X53-1)</f>
        <v>-0.0502138109756849</v>
      </c>
      <c r="AA53" s="23" t="n">
        <v>8.275484</v>
      </c>
      <c r="AB53" s="23" t="n">
        <v>7.916774</v>
      </c>
      <c r="AC53" s="23" t="n">
        <v>9.209425</v>
      </c>
      <c r="AD53" s="23" t="n">
        <v>8.74138</v>
      </c>
      <c r="AE53" s="23" t="n">
        <f aca="false">IF(OR(AC53="",AD53=""),"",AC53-AD53)</f>
        <v>0.468045</v>
      </c>
      <c r="AF53" s="23" t="n">
        <f aca="false">IF(OR(AC53="",AD53="",AD53=0),"",AC53/AD53-1)</f>
        <v>0.053543605243108</v>
      </c>
      <c r="AG53" s="23" t="n">
        <v>9.08936</v>
      </c>
      <c r="AH53" s="23" t="n">
        <v>8.949768</v>
      </c>
      <c r="AI53" s="23" t="n">
        <v>9.297806</v>
      </c>
      <c r="AJ53" s="23" t="n">
        <v>10.360716</v>
      </c>
      <c r="AK53" s="23" t="n">
        <f aca="false">IF(OR(AI53="",AJ53=""),"",AI53-AJ53)</f>
        <v>-1.06291</v>
      </c>
      <c r="AL53" s="23" t="n">
        <f aca="false">IF(OR(AI53="",AJ53="",AJ53=0),"",AI53/AJ53-1)</f>
        <v>-0.102590400122926</v>
      </c>
      <c r="AM53" s="23" t="n">
        <v>0</v>
      </c>
      <c r="AN53" s="23"/>
      <c r="AO53" s="23" t="s">
        <v>413</v>
      </c>
      <c r="AP53" s="23" t="s">
        <v>71</v>
      </c>
    </row>
    <row r="54" customFormat="false" ht="15" hidden="false" customHeight="false" outlineLevel="0" collapsed="false">
      <c r="A54" s="23" t="n">
        <v>52</v>
      </c>
      <c r="B54" s="23" t="n">
        <v>59</v>
      </c>
      <c r="C54" s="23" t="n">
        <v>53</v>
      </c>
      <c r="D54" s="23" t="s">
        <v>157</v>
      </c>
      <c r="E54" s="23" t="s">
        <v>265</v>
      </c>
      <c r="F54" s="23" t="s">
        <v>266</v>
      </c>
      <c r="G54" s="23" t="s">
        <v>414</v>
      </c>
      <c r="H54" s="23" t="s">
        <v>174</v>
      </c>
      <c r="I54" s="23" t="s">
        <v>175</v>
      </c>
      <c r="J54" s="23" t="n">
        <v>46249.6184416204</v>
      </c>
      <c r="K54" s="23" t="n">
        <v>1</v>
      </c>
      <c r="L54" s="23" t="n">
        <v>3</v>
      </c>
      <c r="M54" s="23" t="n">
        <f aca="false">IF(OR(K54="",L54=""),"",K54*L54*3)</f>
        <v>9</v>
      </c>
      <c r="N54" s="23" t="s">
        <v>268</v>
      </c>
      <c r="O54" s="23" t="n">
        <v>8.748747</v>
      </c>
      <c r="P54" s="23" t="n">
        <v>8.052892</v>
      </c>
      <c r="Q54" s="23" t="n">
        <v>9.263077</v>
      </c>
      <c r="R54" s="23" t="s">
        <v>164</v>
      </c>
      <c r="S54" s="23" t="s">
        <v>303</v>
      </c>
      <c r="T54" s="23" t="s">
        <v>18</v>
      </c>
      <c r="U54" s="23" t="s">
        <v>270</v>
      </c>
      <c r="V54" s="23" t="s">
        <v>304</v>
      </c>
      <c r="W54" s="23" t="s">
        <v>415</v>
      </c>
      <c r="X54" s="23" t="n">
        <v>9.030784</v>
      </c>
      <c r="Y54" s="23" t="n">
        <f aca="false">IF(OR(Q54="",X54=""),"",Q54-X54)</f>
        <v>0.232292999999999</v>
      </c>
      <c r="Z54" s="23" t="n">
        <f aca="false">IF(OR(Q54="",X54="",X54=0),"",Q54/X54-1)</f>
        <v>0.0257223514591864</v>
      </c>
      <c r="AA54" s="23" t="n">
        <v>8.10854927910413</v>
      </c>
      <c r="AB54" s="23" t="n">
        <v>7.60359526391548</v>
      </c>
      <c r="AC54" s="23" t="n">
        <v>8.54649489507207</v>
      </c>
      <c r="AD54" s="23" t="n">
        <v>7.92485409035487</v>
      </c>
      <c r="AE54" s="23" t="n">
        <f aca="false">IF(OR(AC54="",AD54=""),"",AC54-AD54)</f>
        <v>0.621640804717208</v>
      </c>
      <c r="AF54" s="23" t="n">
        <f aca="false">IF(OR(AC54="",AD54="",AD54=0),"",AC54/AD54-1)</f>
        <v>0.0784419243092174</v>
      </c>
      <c r="AG54" s="23" t="n">
        <v>9.10831377690664</v>
      </c>
      <c r="AH54" s="23" t="n">
        <v>8.29805867612595</v>
      </c>
      <c r="AI54" s="23" t="n">
        <v>9.66840192297424</v>
      </c>
      <c r="AJ54" s="23" t="n">
        <v>9.70818320266672</v>
      </c>
      <c r="AK54" s="23" t="n">
        <f aca="false">IF(OR(AI54="",AJ54=""),"",AI54-AJ54)</f>
        <v>-0.039781279692475</v>
      </c>
      <c r="AL54" s="23" t="n">
        <f aca="false">IF(OR(AI54="",AJ54="",AJ54=0),"",AI54/AJ54-1)</f>
        <v>-0.00409770591077718</v>
      </c>
      <c r="AM54" s="23" t="n">
        <v>0</v>
      </c>
      <c r="AN54" s="23"/>
      <c r="AO54" s="23" t="s">
        <v>416</v>
      </c>
      <c r="AP54" s="23" t="s">
        <v>274</v>
      </c>
    </row>
    <row r="55" customFormat="false" ht="15" hidden="false" customHeight="false" outlineLevel="0" collapsed="false">
      <c r="A55" s="23" t="n">
        <v>53</v>
      </c>
      <c r="B55" s="23" t="n">
        <v>52</v>
      </c>
      <c r="C55" s="23" t="n">
        <v>63</v>
      </c>
      <c r="D55" s="23" t="s">
        <v>157</v>
      </c>
      <c r="E55" s="23" t="s">
        <v>336</v>
      </c>
      <c r="F55" s="23" t="s">
        <v>337</v>
      </c>
      <c r="G55" s="23" t="s">
        <v>414</v>
      </c>
      <c r="H55" s="23" t="s">
        <v>174</v>
      </c>
      <c r="I55" s="23" t="s">
        <v>175</v>
      </c>
      <c r="J55" s="23" t="n">
        <v>46249.6961766551</v>
      </c>
      <c r="K55" s="23" t="n">
        <v>1</v>
      </c>
      <c r="L55" s="23" t="n">
        <v>3</v>
      </c>
      <c r="M55" s="23" t="n">
        <f aca="false">IF(OR(K55="",L55=""),"",K55*L55*3)</f>
        <v>9</v>
      </c>
      <c r="N55" s="23" t="s">
        <v>339</v>
      </c>
      <c r="O55" s="23" t="n">
        <v>8.896758</v>
      </c>
      <c r="P55" s="23" t="n">
        <v>8.622548</v>
      </c>
      <c r="Q55" s="23" t="n">
        <v>9.25446</v>
      </c>
      <c r="R55" s="23" t="s">
        <v>164</v>
      </c>
      <c r="S55" s="23" t="s">
        <v>303</v>
      </c>
      <c r="T55" s="23" t="s">
        <v>18</v>
      </c>
      <c r="U55" s="23" t="s">
        <v>341</v>
      </c>
      <c r="V55" s="23" t="s">
        <v>304</v>
      </c>
      <c r="W55" s="23" t="s">
        <v>415</v>
      </c>
      <c r="X55" s="23" t="n">
        <v>8.454125</v>
      </c>
      <c r="Y55" s="23" t="n">
        <f aca="false">IF(OR(Q55="",X55=""),"",Q55-X55)</f>
        <v>0.800335000000001</v>
      </c>
      <c r="Z55" s="23" t="n">
        <f aca="false">IF(OR(Q55="",X55="",X55=0),"",Q55/X55-1)</f>
        <v>0.0946679875208849</v>
      </c>
      <c r="AA55" s="23" t="n">
        <v>8.65923553640227</v>
      </c>
      <c r="AB55" s="23" t="n">
        <v>8.40984820500018</v>
      </c>
      <c r="AC55" s="23" t="n">
        <v>8.61496105386147</v>
      </c>
      <c r="AD55" s="23" t="n">
        <v>6.85680852605532</v>
      </c>
      <c r="AE55" s="23" t="n">
        <f aca="false">IF(OR(AC55="",AD55=""),"",AC55-AD55)</f>
        <v>1.75815252780614</v>
      </c>
      <c r="AF55" s="23" t="n">
        <f aca="false">IF(OR(AC55="",AD55="",AD55=0),"",AC55/AD55-1)</f>
        <v>0.256409745310126</v>
      </c>
      <c r="AG55" s="23" t="n">
        <v>9.02047391925118</v>
      </c>
      <c r="AH55" s="23" t="n">
        <v>8.73298470210123</v>
      </c>
      <c r="AI55" s="23" t="n">
        <v>9.61118418271235</v>
      </c>
      <c r="AJ55" s="23" t="n">
        <v>9.56864955918712</v>
      </c>
      <c r="AK55" s="23" t="n">
        <f aca="false">IF(OR(AI55="",AJ55=""),"",AI55-AJ55)</f>
        <v>0.0425346235252366</v>
      </c>
      <c r="AL55" s="23" t="n">
        <f aca="false">IF(OR(AI55="",AJ55="",AJ55=0),"",AI55/AJ55-1)</f>
        <v>0.00444520653224245</v>
      </c>
      <c r="AM55" s="23" t="n">
        <v>0</v>
      </c>
      <c r="AN55" s="23"/>
      <c r="AO55" s="23" t="s">
        <v>417</v>
      </c>
      <c r="AP55" s="23" t="s">
        <v>345</v>
      </c>
    </row>
    <row r="56" customFormat="false" ht="15" hidden="false" customHeight="false" outlineLevel="0" collapsed="false">
      <c r="A56" s="23" t="n">
        <v>54</v>
      </c>
      <c r="B56" s="23" t="n">
        <v>60</v>
      </c>
      <c r="C56" s="23" t="n">
        <v>55</v>
      </c>
      <c r="D56" s="23" t="s">
        <v>157</v>
      </c>
      <c r="E56" s="23" t="s">
        <v>336</v>
      </c>
      <c r="F56" s="23" t="s">
        <v>337</v>
      </c>
      <c r="G56" s="23" t="s">
        <v>418</v>
      </c>
      <c r="H56" s="23" t="s">
        <v>174</v>
      </c>
      <c r="I56" s="23" t="s">
        <v>175</v>
      </c>
      <c r="J56" s="23" t="n">
        <v>46249.7018681945</v>
      </c>
      <c r="K56" s="23" t="n">
        <v>1</v>
      </c>
      <c r="L56" s="23" t="n">
        <v>3</v>
      </c>
      <c r="M56" s="23" t="n">
        <f aca="false">IF(OR(K56="",L56=""),"",K56*L56*3)</f>
        <v>9</v>
      </c>
      <c r="N56" s="23" t="s">
        <v>339</v>
      </c>
      <c r="O56" s="23" t="n">
        <v>9.118058</v>
      </c>
      <c r="P56" s="23" t="n">
        <v>8.724396</v>
      </c>
      <c r="Q56" s="23" t="n">
        <v>9.237178</v>
      </c>
      <c r="R56" s="23" t="s">
        <v>164</v>
      </c>
      <c r="S56" s="23" t="s">
        <v>340</v>
      </c>
      <c r="T56" s="23" t="s">
        <v>18</v>
      </c>
      <c r="U56" s="23" t="s">
        <v>341</v>
      </c>
      <c r="V56" s="23" t="s">
        <v>342</v>
      </c>
      <c r="W56" s="23" t="s">
        <v>419</v>
      </c>
      <c r="X56" s="23" t="n">
        <v>8.454125</v>
      </c>
      <c r="Y56" s="23" t="n">
        <f aca="false">IF(OR(Q56="",X56=""),"",Q56-X56)</f>
        <v>0.783053000000001</v>
      </c>
      <c r="Z56" s="23" t="n">
        <f aca="false">IF(OR(Q56="",X56="",X56=0),"",Q56/X56-1)</f>
        <v>0.0926237783330624</v>
      </c>
      <c r="AA56" s="23" t="n">
        <v>8.81355429496031</v>
      </c>
      <c r="AB56" s="23" t="n">
        <v>8.35521467922212</v>
      </c>
      <c r="AC56" s="23" t="n">
        <v>8.49602169221963</v>
      </c>
      <c r="AD56" s="23" t="n">
        <v>6.85680852605532</v>
      </c>
      <c r="AE56" s="23" t="n">
        <f aca="false">IF(OR(AC56="",AD56=""),"",AC56-AD56)</f>
        <v>1.63921316616431</v>
      </c>
      <c r="AF56" s="23" t="n">
        <f aca="false">IF(OR(AC56="",AD56="",AD56=0),"",AC56/AD56-1)</f>
        <v>0.239063575996825</v>
      </c>
      <c r="AG56" s="23" t="n">
        <v>9.27833923159995</v>
      </c>
      <c r="AH56" s="23" t="n">
        <v>8.92149701003592</v>
      </c>
      <c r="AI56" s="23" t="n">
        <v>9.65845896174289</v>
      </c>
      <c r="AJ56" s="23" t="n">
        <v>9.56864955918712</v>
      </c>
      <c r="AK56" s="23" t="n">
        <f aca="false">IF(OR(AI56="",AJ56=""),"",AI56-AJ56)</f>
        <v>0.0898094025557779</v>
      </c>
      <c r="AL56" s="23" t="n">
        <f aca="false">IF(OR(AI56="",AJ56="",AJ56=0),"",AI56/AJ56-1)</f>
        <v>0.00938579702394371</v>
      </c>
      <c r="AM56" s="23" t="n">
        <v>0</v>
      </c>
      <c r="AN56" s="23"/>
      <c r="AO56" s="23" t="s">
        <v>420</v>
      </c>
      <c r="AP56" s="23" t="s">
        <v>345</v>
      </c>
    </row>
    <row r="57" customFormat="false" ht="15" hidden="false" customHeight="false" outlineLevel="0" collapsed="false">
      <c r="A57" s="23" t="n">
        <v>55</v>
      </c>
      <c r="B57" s="23" t="n">
        <v>43</v>
      </c>
      <c r="C57" s="23" t="n">
        <v>71</v>
      </c>
      <c r="D57" s="23" t="s">
        <v>157</v>
      </c>
      <c r="E57" s="23" t="s">
        <v>288</v>
      </c>
      <c r="F57" s="23" t="s">
        <v>289</v>
      </c>
      <c r="G57" s="23" t="s">
        <v>421</v>
      </c>
      <c r="H57" s="23" t="s">
        <v>174</v>
      </c>
      <c r="I57" s="23" t="s">
        <v>175</v>
      </c>
      <c r="J57" s="23" t="n">
        <v>46249.7719478241</v>
      </c>
      <c r="K57" s="23" t="n">
        <v>1</v>
      </c>
      <c r="L57" s="23" t="n">
        <v>3</v>
      </c>
      <c r="M57" s="23" t="n">
        <f aca="false">IF(OR(K57="",L57=""),"",K57*L57*3)</f>
        <v>9</v>
      </c>
      <c r="N57" s="23" t="s">
        <v>187</v>
      </c>
      <c r="O57" s="23" t="n">
        <v>8.893043</v>
      </c>
      <c r="P57" s="23" t="n">
        <v>8.112019</v>
      </c>
      <c r="Q57" s="23" t="n">
        <v>9.224382</v>
      </c>
      <c r="R57" s="23" t="s">
        <v>164</v>
      </c>
      <c r="S57" s="23" t="s">
        <v>422</v>
      </c>
      <c r="T57" s="23" t="s">
        <v>18</v>
      </c>
      <c r="U57" s="23" t="s">
        <v>178</v>
      </c>
      <c r="V57" s="23" t="s">
        <v>423</v>
      </c>
      <c r="W57" s="23" t="s">
        <v>424</v>
      </c>
      <c r="X57" s="23" t="n">
        <v>9.065573</v>
      </c>
      <c r="Y57" s="23" t="n">
        <f aca="false">IF(OR(Q57="",X57=""),"",Q57-X57)</f>
        <v>0.158809</v>
      </c>
      <c r="Z57" s="23" t="n">
        <f aca="false">IF(OR(Q57="",X57="",X57=0),"",Q57/X57-1)</f>
        <v>0.0175178116154378</v>
      </c>
      <c r="AA57" s="23" t="n">
        <v>8.32635144740522</v>
      </c>
      <c r="AB57" s="23" t="n">
        <v>7.31398363387912</v>
      </c>
      <c r="AC57" s="23" t="n">
        <v>8.71582156071215</v>
      </c>
      <c r="AD57" s="23" t="n">
        <v>8.18140532135893</v>
      </c>
      <c r="AE57" s="23" t="n">
        <f aca="false">IF(OR(AC57="",AD57=""),"",AC57-AD57)</f>
        <v>0.534416239353217</v>
      </c>
      <c r="AF57" s="23" t="n">
        <f aca="false">IF(OR(AC57="",AD57="",AD57=0),"",AC57/AD57-1)</f>
        <v>0.0653208365020168</v>
      </c>
      <c r="AG57" s="23" t="n">
        <v>9.20633435136982</v>
      </c>
      <c r="AH57" s="23" t="n">
        <v>8.58011143691866</v>
      </c>
      <c r="AI57" s="23" t="n">
        <v>9.50158691481041</v>
      </c>
      <c r="AJ57" s="23" t="n">
        <v>9.5834141990268</v>
      </c>
      <c r="AK57" s="23" t="n">
        <f aca="false">IF(OR(AI57="",AJ57=""),"",AI57-AJ57)</f>
        <v>-0.0818272842163932</v>
      </c>
      <c r="AL57" s="23" t="n">
        <f aca="false">IF(OR(AI57="",AJ57="",AJ57=0),"",AI57/AJ57-1)</f>
        <v>-0.00853842717397135</v>
      </c>
      <c r="AM57" s="23" t="n">
        <v>0</v>
      </c>
      <c r="AN57" s="23"/>
      <c r="AO57" s="23" t="s">
        <v>425</v>
      </c>
      <c r="AP57" s="23" t="s">
        <v>183</v>
      </c>
    </row>
    <row r="58" customFormat="false" ht="15" hidden="false" customHeight="false" outlineLevel="0" collapsed="false">
      <c r="A58" s="23" t="n">
        <v>56</v>
      </c>
      <c r="B58" s="23" t="n">
        <v>66</v>
      </c>
      <c r="C58" s="23" t="n">
        <v>44</v>
      </c>
      <c r="D58" s="23" t="s">
        <v>157</v>
      </c>
      <c r="E58" s="23" t="s">
        <v>288</v>
      </c>
      <c r="F58" s="23" t="s">
        <v>289</v>
      </c>
      <c r="G58" s="23" t="s">
        <v>426</v>
      </c>
      <c r="H58" s="23" t="s">
        <v>174</v>
      </c>
      <c r="I58" s="23" t="s">
        <v>175</v>
      </c>
      <c r="J58" s="23" t="n">
        <v>46249.7891010417</v>
      </c>
      <c r="K58" s="23" t="n">
        <v>1</v>
      </c>
      <c r="L58" s="23" t="n">
        <v>3</v>
      </c>
      <c r="M58" s="23" t="n">
        <f aca="false">IF(OR(K58="",L58=""),"",K58*L58*3)</f>
        <v>9</v>
      </c>
      <c r="N58" s="23" t="s">
        <v>187</v>
      </c>
      <c r="O58" s="23" t="n">
        <v>9.052992</v>
      </c>
      <c r="P58" s="23" t="n">
        <v>8.883609</v>
      </c>
      <c r="Q58" s="23" t="n">
        <v>9.222693</v>
      </c>
      <c r="R58" s="23" t="s">
        <v>164</v>
      </c>
      <c r="S58" s="23" t="s">
        <v>34</v>
      </c>
      <c r="T58" s="23" t="s">
        <v>18</v>
      </c>
      <c r="U58" s="23" t="s">
        <v>178</v>
      </c>
      <c r="V58" s="23" t="s">
        <v>353</v>
      </c>
      <c r="W58" s="23" t="s">
        <v>352</v>
      </c>
      <c r="X58" s="23" t="n">
        <v>9.065573</v>
      </c>
      <c r="Y58" s="23" t="n">
        <f aca="false">IF(OR(Q58="",X58=""),"",Q58-X58)</f>
        <v>0.157119999999999</v>
      </c>
      <c r="Z58" s="23" t="n">
        <f aca="false">IF(OR(Q58="",X58="",X58=0),"",Q58/X58-1)</f>
        <v>0.0173315023771801</v>
      </c>
      <c r="AA58" s="23" t="n">
        <v>8.48613955829505</v>
      </c>
      <c r="AB58" s="23" t="n">
        <v>8.64765661897458</v>
      </c>
      <c r="AC58" s="23" t="n">
        <v>8.37300571335274</v>
      </c>
      <c r="AD58" s="23" t="n">
        <v>8.18140532135893</v>
      </c>
      <c r="AE58" s="23" t="n">
        <f aca="false">IF(OR(AC58="",AD58=""),"",AC58-AD58)</f>
        <v>0.191600391993815</v>
      </c>
      <c r="AF58" s="23" t="n">
        <f aca="false">IF(OR(AC58="",AD58="",AD58=0),"",AC58/AD58-1)</f>
        <v>0.0234190074281748</v>
      </c>
      <c r="AG58" s="23" t="n">
        <v>9.36579723494265</v>
      </c>
      <c r="AH58" s="23" t="n">
        <v>9.00648036871805</v>
      </c>
      <c r="AI58" s="23" t="n">
        <v>9.71566226817058</v>
      </c>
      <c r="AJ58" s="23" t="n">
        <v>9.5834141990268</v>
      </c>
      <c r="AK58" s="23" t="n">
        <f aca="false">IF(OR(AI58="",AJ58=""),"",AI58-AJ58)</f>
        <v>0.132248069143779</v>
      </c>
      <c r="AL58" s="23" t="n">
        <f aca="false">IF(OR(AI58="",AJ58="",AJ58=0),"",AI58/AJ58-1)</f>
        <v>0.0137996820754349</v>
      </c>
      <c r="AM58" s="23" t="n">
        <v>0</v>
      </c>
      <c r="AN58" s="23"/>
      <c r="AO58" s="23" t="s">
        <v>427</v>
      </c>
      <c r="AP58" s="23" t="s">
        <v>183</v>
      </c>
    </row>
    <row r="59" customFormat="false" ht="15" hidden="false" customHeight="false" outlineLevel="0" collapsed="false">
      <c r="A59" s="23" t="n">
        <v>57</v>
      </c>
      <c r="B59" s="23" t="n">
        <v>39</v>
      </c>
      <c r="C59" s="23" t="n">
        <v>76</v>
      </c>
      <c r="D59" s="23" t="s">
        <v>157</v>
      </c>
      <c r="E59" s="23" t="s">
        <v>336</v>
      </c>
      <c r="F59" s="23" t="s">
        <v>337</v>
      </c>
      <c r="G59" s="23" t="s">
        <v>428</v>
      </c>
      <c r="H59" s="23" t="s">
        <v>174</v>
      </c>
      <c r="I59" s="23" t="s">
        <v>175</v>
      </c>
      <c r="J59" s="23" t="n">
        <v>46249.6876118634</v>
      </c>
      <c r="K59" s="23" t="n">
        <v>1</v>
      </c>
      <c r="L59" s="23" t="n">
        <v>3</v>
      </c>
      <c r="M59" s="23" t="n">
        <f aca="false">IF(OR(K59="",L59=""),"",K59*L59*3)</f>
        <v>9</v>
      </c>
      <c r="N59" s="23" t="s">
        <v>339</v>
      </c>
      <c r="O59" s="23" t="n">
        <v>8.761201</v>
      </c>
      <c r="P59" s="23" t="n">
        <v>8.349654</v>
      </c>
      <c r="Q59" s="23" t="n">
        <v>9.213982</v>
      </c>
      <c r="R59" s="23" t="s">
        <v>164</v>
      </c>
      <c r="S59" s="23" t="s">
        <v>429</v>
      </c>
      <c r="T59" s="23" t="s">
        <v>18</v>
      </c>
      <c r="U59" s="23" t="s">
        <v>341</v>
      </c>
      <c r="V59" s="23" t="s">
        <v>430</v>
      </c>
      <c r="W59" s="23" t="s">
        <v>431</v>
      </c>
      <c r="X59" s="23" t="n">
        <v>8.454125</v>
      </c>
      <c r="Y59" s="23" t="n">
        <f aca="false">IF(OR(Q59="",X59=""),"",Q59-X59)</f>
        <v>0.759857</v>
      </c>
      <c r="Z59" s="23" t="n">
        <f aca="false">IF(OR(Q59="",X59="",X59=0),"",Q59/X59-1)</f>
        <v>0.089880028979936</v>
      </c>
      <c r="AA59" s="23" t="n">
        <v>8.1750682711431</v>
      </c>
      <c r="AB59" s="23" t="n">
        <v>7.64147219731695</v>
      </c>
      <c r="AC59" s="23" t="n">
        <v>8.74314398268763</v>
      </c>
      <c r="AD59" s="23" t="n">
        <v>6.85680852605532</v>
      </c>
      <c r="AE59" s="23" t="n">
        <f aca="false">IF(OR(AC59="",AD59=""),"",AC59-AD59)</f>
        <v>1.88633545663231</v>
      </c>
      <c r="AF59" s="23" t="n">
        <f aca="false">IF(OR(AC59="",AD59="",AD59=0),"",AC59/AD59-1)</f>
        <v>0.275104000565917</v>
      </c>
      <c r="AG59" s="23" t="n">
        <v>9.08695826909582</v>
      </c>
      <c r="AH59" s="23" t="n">
        <v>8.75536056332358</v>
      </c>
      <c r="AI59" s="23" t="n">
        <v>9.46894439357267</v>
      </c>
      <c r="AJ59" s="23" t="n">
        <v>9.56864955918712</v>
      </c>
      <c r="AK59" s="23" t="n">
        <f aca="false">IF(OR(AI59="",AJ59=""),"",AI59-AJ59)</f>
        <v>-0.099705165614445</v>
      </c>
      <c r="AL59" s="23" t="n">
        <f aca="false">IF(OR(AI59="",AJ59="",AJ59=0),"",AI59/AJ59-1)</f>
        <v>-0.0104199829869112</v>
      </c>
      <c r="AM59" s="23" t="n">
        <v>0</v>
      </c>
      <c r="AN59" s="23"/>
      <c r="AO59" s="23" t="s">
        <v>432</v>
      </c>
      <c r="AP59" s="23" t="s">
        <v>345</v>
      </c>
    </row>
    <row r="60" customFormat="false" ht="15" hidden="false" customHeight="false" outlineLevel="0" collapsed="false">
      <c r="A60" s="23" t="n">
        <v>58</v>
      </c>
      <c r="B60" s="23" t="n">
        <v>7</v>
      </c>
      <c r="C60" s="23" t="n">
        <v>87</v>
      </c>
      <c r="D60" s="23" t="s">
        <v>157</v>
      </c>
      <c r="E60" s="23" t="s">
        <v>219</v>
      </c>
      <c r="F60" s="23" t="s">
        <v>220</v>
      </c>
      <c r="G60" s="23" t="s">
        <v>433</v>
      </c>
      <c r="H60" s="23" t="s">
        <v>174</v>
      </c>
      <c r="I60" s="23" t="s">
        <v>162</v>
      </c>
      <c r="J60" s="23" t="n">
        <v>46250.3302098727</v>
      </c>
      <c r="K60" s="23" t="n">
        <v>1</v>
      </c>
      <c r="L60" s="23" t="n">
        <v>3</v>
      </c>
      <c r="M60" s="23" t="n">
        <f aca="false">IF(OR(K60="",L60=""),"",K60*L60*3)</f>
        <v>9</v>
      </c>
      <c r="N60" s="23" t="s">
        <v>222</v>
      </c>
      <c r="O60" s="23" t="n">
        <v>8.975233</v>
      </c>
      <c r="P60" s="23" t="n">
        <v>8.84416</v>
      </c>
      <c r="Q60" s="23" t="n">
        <v>9.211777</v>
      </c>
      <c r="R60" s="23" t="s">
        <v>164</v>
      </c>
      <c r="S60" s="23" t="s">
        <v>308</v>
      </c>
      <c r="T60" s="23" t="s">
        <v>18</v>
      </c>
      <c r="U60" s="23" t="s">
        <v>224</v>
      </c>
      <c r="V60" s="23" t="s">
        <v>309</v>
      </c>
      <c r="W60" s="23" t="s">
        <v>434</v>
      </c>
      <c r="X60" s="23" t="n">
        <v>9.758152</v>
      </c>
      <c r="Y60" s="23" t="n">
        <f aca="false">IF(OR(Q60="",X60=""),"",Q60-X60)</f>
        <v>-0.546375000000001</v>
      </c>
      <c r="Z60" s="23" t="n">
        <f aca="false">IF(OR(Q60="",X60="",X60=0),"",Q60/X60-1)</f>
        <v>-0.0559916467790214</v>
      </c>
      <c r="AA60" s="23" t="n">
        <v>8.367953</v>
      </c>
      <c r="AB60" s="23" t="n">
        <v>8.144786</v>
      </c>
      <c r="AC60" s="23" t="n">
        <v>9.517896</v>
      </c>
      <c r="AD60" s="23" t="n">
        <v>8.74138</v>
      </c>
      <c r="AE60" s="23" t="n">
        <f aca="false">IF(OR(AC60="",AD60=""),"",AC60-AD60)</f>
        <v>0.776516000000001</v>
      </c>
      <c r="AF60" s="23" t="n">
        <f aca="false">IF(OR(AC60="",AD60="",AD60=0),"",AC60/AD60-1)</f>
        <v>0.0888321981197477</v>
      </c>
      <c r="AG60" s="23" t="n">
        <v>9.313171</v>
      </c>
      <c r="AH60" s="23" t="n">
        <v>9.240907</v>
      </c>
      <c r="AI60" s="23" t="n">
        <v>9.065984</v>
      </c>
      <c r="AJ60" s="23" t="n">
        <v>10.360716</v>
      </c>
      <c r="AK60" s="23" t="n">
        <f aca="false">IF(OR(AI60="",AJ60=""),"",AI60-AJ60)</f>
        <v>-1.294732</v>
      </c>
      <c r="AL60" s="23" t="n">
        <f aca="false">IF(OR(AI60="",AJ60="",AJ60=0),"",AI60/AJ60-1)</f>
        <v>-0.124965494662724</v>
      </c>
      <c r="AM60" s="23" t="n">
        <v>0</v>
      </c>
      <c r="AN60" s="23" t="s">
        <v>243</v>
      </c>
      <c r="AO60" s="23" t="s">
        <v>435</v>
      </c>
      <c r="AP60" s="23" t="s">
        <v>71</v>
      </c>
    </row>
    <row r="61" customFormat="false" ht="15" hidden="false" customHeight="false" outlineLevel="0" collapsed="false">
      <c r="A61" s="23" t="n">
        <v>59</v>
      </c>
      <c r="B61" s="23" t="n">
        <v>73</v>
      </c>
      <c r="C61" s="23" t="n">
        <v>41</v>
      </c>
      <c r="D61" s="23" t="s">
        <v>157</v>
      </c>
      <c r="E61" s="23" t="s">
        <v>275</v>
      </c>
      <c r="F61" s="23" t="s">
        <v>276</v>
      </c>
      <c r="G61" s="23" t="s">
        <v>436</v>
      </c>
      <c r="H61" s="23" t="s">
        <v>174</v>
      </c>
      <c r="I61" s="23" t="s">
        <v>175</v>
      </c>
      <c r="J61" s="23" t="n">
        <v>46249.6545395486</v>
      </c>
      <c r="K61" s="23" t="n">
        <v>1</v>
      </c>
      <c r="L61" s="23" t="n">
        <v>3</v>
      </c>
      <c r="M61" s="23" t="n">
        <f aca="false">IF(OR(K61="",L61=""),"",K61*L61*3)</f>
        <v>9</v>
      </c>
      <c r="N61" s="23" t="s">
        <v>278</v>
      </c>
      <c r="O61" s="23" t="n">
        <v>8.785707</v>
      </c>
      <c r="P61" s="23" t="n">
        <v>8.545339</v>
      </c>
      <c r="Q61" s="23" t="n">
        <v>9.206058</v>
      </c>
      <c r="R61" s="23" t="s">
        <v>164</v>
      </c>
      <c r="S61" s="23" t="s">
        <v>437</v>
      </c>
      <c r="T61" s="23" t="s">
        <v>18</v>
      </c>
      <c r="U61" s="23" t="s">
        <v>280</v>
      </c>
      <c r="V61" s="23" t="s">
        <v>438</v>
      </c>
      <c r="W61" s="23" t="s">
        <v>439</v>
      </c>
      <c r="X61" s="23" t="n">
        <v>9.190881</v>
      </c>
      <c r="Y61" s="23" t="n">
        <f aca="false">IF(OR(Q61="",X61=""),"",Q61-X61)</f>
        <v>0.0151770000000013</v>
      </c>
      <c r="Z61" s="23" t="n">
        <f aca="false">IF(OR(Q61="",X61="",X61=0),"",Q61/X61-1)</f>
        <v>0.0016513106850149</v>
      </c>
      <c r="AA61" s="23" t="n">
        <v>8.17672093336219</v>
      </c>
      <c r="AB61" s="23" t="n">
        <v>7.72765311299608</v>
      </c>
      <c r="AC61" s="23" t="n">
        <v>8.24852504710349</v>
      </c>
      <c r="AD61" s="23" t="n">
        <v>8.30350417746048</v>
      </c>
      <c r="AE61" s="23" t="n">
        <f aca="false">IF(OR(AC61="",AD61=""),"",AC61-AD61)</f>
        <v>-0.0549791303569851</v>
      </c>
      <c r="AF61" s="23" t="n">
        <f aca="false">IF(OR(AC61="",AD61="",AD61=0),"",AC61/AD61-1)</f>
        <v>-0.0066211962060817</v>
      </c>
      <c r="AG61" s="23" t="n">
        <v>9.12553324069182</v>
      </c>
      <c r="AH61" s="23" t="n">
        <v>9.022698750973</v>
      </c>
      <c r="AI61" s="23" t="n">
        <v>9.77332757756945</v>
      </c>
      <c r="AJ61" s="23" t="n">
        <v>9.70970855124238</v>
      </c>
      <c r="AK61" s="23" t="n">
        <f aca="false">IF(OR(AI61="",AJ61=""),"",AI61-AJ61)</f>
        <v>0.0636190263270642</v>
      </c>
      <c r="AL61" s="23" t="n">
        <f aca="false">IF(OR(AI61="",AJ61="",AJ61=0),"",AI61/AJ61-1)</f>
        <v>0.00655210462716971</v>
      </c>
      <c r="AM61" s="23" t="n">
        <v>0</v>
      </c>
      <c r="AN61" s="23"/>
      <c r="AO61" s="23" t="s">
        <v>440</v>
      </c>
      <c r="AP61" s="23" t="s">
        <v>284</v>
      </c>
    </row>
    <row r="62" customFormat="false" ht="15" hidden="false" customHeight="false" outlineLevel="0" collapsed="false">
      <c r="A62" s="23" t="n">
        <v>60</v>
      </c>
      <c r="B62" s="23" t="n">
        <v>68</v>
      </c>
      <c r="C62" s="23" t="n">
        <v>46</v>
      </c>
      <c r="D62" s="23" t="s">
        <v>157</v>
      </c>
      <c r="E62" s="23" t="s">
        <v>275</v>
      </c>
      <c r="F62" s="23" t="s">
        <v>276</v>
      </c>
      <c r="G62" s="23" t="s">
        <v>278</v>
      </c>
      <c r="H62" s="23" t="s">
        <v>174</v>
      </c>
      <c r="I62" s="23" t="s">
        <v>175</v>
      </c>
      <c r="J62" s="23" t="n">
        <v>46249.6459275</v>
      </c>
      <c r="K62" s="23" t="n">
        <v>1</v>
      </c>
      <c r="L62" s="23" t="n">
        <v>3</v>
      </c>
      <c r="M62" s="23" t="n">
        <f aca="false">IF(OR(K62="",L62=""),"",K62*L62*3)</f>
        <v>9</v>
      </c>
      <c r="N62" s="23" t="s">
        <v>278</v>
      </c>
      <c r="O62" s="23" t="n">
        <v>8.978374</v>
      </c>
      <c r="P62" s="23" t="n">
        <v>8.649898</v>
      </c>
      <c r="Q62" s="23" t="n">
        <v>9.190881</v>
      </c>
      <c r="R62" s="23" t="s">
        <v>164</v>
      </c>
      <c r="S62" s="23" t="s">
        <v>132</v>
      </c>
      <c r="T62" s="23" t="s">
        <v>18</v>
      </c>
      <c r="U62" s="23" t="s">
        <v>280</v>
      </c>
      <c r="V62" s="23" t="s">
        <v>207</v>
      </c>
      <c r="W62" s="23" t="s">
        <v>207</v>
      </c>
      <c r="X62" s="23" t="n">
        <v>9.190881</v>
      </c>
      <c r="Y62" s="23" t="n">
        <f aca="false">IF(OR(Q62="",X62=""),"",Q62-X62)</f>
        <v>0</v>
      </c>
      <c r="Z62" s="23" t="n">
        <f aca="false">IF(OR(Q62="",X62="",X62=0),"",Q62/X62-1)</f>
        <v>0</v>
      </c>
      <c r="AA62" s="23" t="n">
        <v>8.35276411940265</v>
      </c>
      <c r="AB62" s="23" t="n">
        <v>8.0356833757611</v>
      </c>
      <c r="AC62" s="23" t="n">
        <v>8.30350417746048</v>
      </c>
      <c r="AD62" s="23" t="n">
        <v>8.30350417746048</v>
      </c>
      <c r="AE62" s="23" t="n">
        <f aca="false">IF(OR(AC62="",AD62=""),"",AC62-AD62)</f>
        <v>0</v>
      </c>
      <c r="AF62" s="23" t="n">
        <f aca="false">IF(OR(AC62="",AD62="",AD62=0),"",AC62/AD62-1)</f>
        <v>0</v>
      </c>
      <c r="AG62" s="23" t="n">
        <v>9.32768890780442</v>
      </c>
      <c r="AH62" s="23" t="n">
        <v>8.99361584992902</v>
      </c>
      <c r="AI62" s="23" t="n">
        <v>9.70970855124238</v>
      </c>
      <c r="AJ62" s="23" t="n">
        <v>9.70970855124238</v>
      </c>
      <c r="AK62" s="23" t="n">
        <f aca="false">IF(OR(AI62="",AJ62=""),"",AI62-AJ62)</f>
        <v>0</v>
      </c>
      <c r="AL62" s="23" t="n">
        <f aca="false">IF(OR(AI62="",AJ62="",AJ62=0),"",AI62/AJ62-1)</f>
        <v>0</v>
      </c>
      <c r="AM62" s="23" t="n">
        <v>0</v>
      </c>
      <c r="AN62" s="23"/>
      <c r="AO62" s="23" t="s">
        <v>441</v>
      </c>
      <c r="AP62" s="23" t="s">
        <v>284</v>
      </c>
    </row>
    <row r="63" customFormat="false" ht="15" hidden="false" customHeight="false" outlineLevel="0" collapsed="false">
      <c r="A63" s="23" t="n">
        <v>61</v>
      </c>
      <c r="B63" s="23" t="n">
        <v>53</v>
      </c>
      <c r="C63" s="23" t="n">
        <v>70</v>
      </c>
      <c r="D63" s="23" t="s">
        <v>157</v>
      </c>
      <c r="E63" s="23" t="s">
        <v>288</v>
      </c>
      <c r="F63" s="23" t="s">
        <v>289</v>
      </c>
      <c r="G63" s="23" t="s">
        <v>442</v>
      </c>
      <c r="H63" s="23" t="s">
        <v>174</v>
      </c>
      <c r="I63" s="23" t="s">
        <v>175</v>
      </c>
      <c r="J63" s="23" t="n">
        <v>46249.7776823843</v>
      </c>
      <c r="K63" s="23" t="n">
        <v>1</v>
      </c>
      <c r="L63" s="23" t="n">
        <v>3</v>
      </c>
      <c r="M63" s="23" t="n">
        <f aca="false">IF(OR(K63="",L63=""),"",K63*L63*3)</f>
        <v>9</v>
      </c>
      <c r="N63" s="23" t="s">
        <v>187</v>
      </c>
      <c r="O63" s="23" t="n">
        <v>8.777763</v>
      </c>
      <c r="P63" s="23" t="n">
        <v>8.328838</v>
      </c>
      <c r="Q63" s="23" t="n">
        <v>9.188049</v>
      </c>
      <c r="R63" s="23" t="s">
        <v>164</v>
      </c>
      <c r="S63" s="23" t="s">
        <v>443</v>
      </c>
      <c r="T63" s="23" t="s">
        <v>18</v>
      </c>
      <c r="U63" s="23" t="s">
        <v>178</v>
      </c>
      <c r="V63" s="23" t="s">
        <v>444</v>
      </c>
      <c r="W63" s="23" t="s">
        <v>445</v>
      </c>
      <c r="X63" s="23" t="n">
        <v>9.065573</v>
      </c>
      <c r="Y63" s="23" t="n">
        <f aca="false">IF(OR(Q63="",X63=""),"",Q63-X63)</f>
        <v>0.122475999999999</v>
      </c>
      <c r="Z63" s="23" t="n">
        <f aca="false">IF(OR(Q63="",X63="",X63=0),"",Q63/X63-1)</f>
        <v>0.0135100119981384</v>
      </c>
      <c r="AA63" s="23" t="n">
        <v>8.20671192048314</v>
      </c>
      <c r="AB63" s="23" t="n">
        <v>7.50583904942499</v>
      </c>
      <c r="AC63" s="23" t="n">
        <v>8.61124850846451</v>
      </c>
      <c r="AD63" s="23" t="n">
        <v>8.18140532135893</v>
      </c>
      <c r="AE63" s="23" t="n">
        <f aca="false">IF(OR(AC63="",AD63=""),"",AC63-AD63)</f>
        <v>0.429843187105584</v>
      </c>
      <c r="AF63" s="23" t="n">
        <f aca="false">IF(OR(AC63="",AD63="",AD63=0),"",AC63/AD63-1)</f>
        <v>0.0525390406930955</v>
      </c>
      <c r="AG63" s="23" t="n">
        <v>9.09416452265562</v>
      </c>
      <c r="AH63" s="23" t="n">
        <v>8.81194324075401</v>
      </c>
      <c r="AI63" s="23" t="n">
        <v>9.50642923321183</v>
      </c>
      <c r="AJ63" s="23" t="n">
        <v>9.5834141990268</v>
      </c>
      <c r="AK63" s="23" t="n">
        <f aca="false">IF(OR(AI63="",AJ63=""),"",AI63-AJ63)</f>
        <v>-0.0769849658149671</v>
      </c>
      <c r="AL63" s="23" t="n">
        <f aca="false">IF(OR(AI63="",AJ63="",AJ63=0),"",AI63/AJ63-1)</f>
        <v>-0.00803314603920435</v>
      </c>
      <c r="AM63" s="23" t="n">
        <v>0</v>
      </c>
      <c r="AN63" s="23"/>
      <c r="AO63" s="23" t="s">
        <v>446</v>
      </c>
      <c r="AP63" s="23" t="s">
        <v>183</v>
      </c>
    </row>
    <row r="64" customFormat="false" ht="15" hidden="false" customHeight="false" outlineLevel="0" collapsed="false">
      <c r="A64" s="23" t="n">
        <v>62</v>
      </c>
      <c r="B64" s="23" t="n">
        <v>16</v>
      </c>
      <c r="C64" s="23" t="n">
        <v>84</v>
      </c>
      <c r="D64" s="23" t="s">
        <v>157</v>
      </c>
      <c r="E64" s="23" t="s">
        <v>184</v>
      </c>
      <c r="F64" s="23" t="s">
        <v>185</v>
      </c>
      <c r="G64" s="23" t="s">
        <v>447</v>
      </c>
      <c r="H64" s="23" t="s">
        <v>174</v>
      </c>
      <c r="I64" s="23" t="s">
        <v>175</v>
      </c>
      <c r="J64" s="23" t="n">
        <v>46249.8156507523</v>
      </c>
      <c r="K64" s="23" t="n">
        <v>1</v>
      </c>
      <c r="L64" s="23" t="n">
        <v>3</v>
      </c>
      <c r="M64" s="23" t="n">
        <f aca="false">IF(OR(K64="",L64=""),"",K64*L64*3)</f>
        <v>9</v>
      </c>
      <c r="N64" s="23" t="s">
        <v>187</v>
      </c>
      <c r="O64" s="23" t="n">
        <v>8.972434</v>
      </c>
      <c r="P64" s="23" t="n">
        <v>8.605179</v>
      </c>
      <c r="Q64" s="23" t="n">
        <v>9.181287</v>
      </c>
      <c r="R64" s="23" t="s">
        <v>164</v>
      </c>
      <c r="S64" s="23" t="s">
        <v>448</v>
      </c>
      <c r="T64" s="23" t="s">
        <v>18</v>
      </c>
      <c r="U64" s="23" t="s">
        <v>178</v>
      </c>
      <c r="V64" s="23" t="s">
        <v>449</v>
      </c>
      <c r="W64" s="23" t="s">
        <v>450</v>
      </c>
      <c r="X64" s="23" t="n">
        <v>9.128501</v>
      </c>
      <c r="Y64" s="23" t="n">
        <f aca="false">IF(OR(Q64="",X64=""),"",Q64-X64)</f>
        <v>0.0527859999999993</v>
      </c>
      <c r="Z64" s="23" t="n">
        <f aca="false">IF(OR(Q64="",X64="",X64=0),"",Q64/X64-1)</f>
        <v>0.00578254852576565</v>
      </c>
      <c r="AA64" s="23" t="n">
        <v>8.341030930628</v>
      </c>
      <c r="AB64" s="23" t="n">
        <v>7.88588024639662</v>
      </c>
      <c r="AC64" s="23" t="n">
        <v>9.13423813347494</v>
      </c>
      <c r="AD64" s="23" t="n">
        <v>8.27026407471985</v>
      </c>
      <c r="AE64" s="23" t="n">
        <f aca="false">IF(OR(AC64="",AD64=""),"",AC64-AD64)</f>
        <v>0.863974058755083</v>
      </c>
      <c r="AF64" s="23" t="n">
        <f aca="false">IF(OR(AC64="",AD64="",AD64=0),"",AC64/AD64-1)</f>
        <v>0.104467529809119</v>
      </c>
      <c r="AG64" s="23" t="n">
        <v>9.32539339916706</v>
      </c>
      <c r="AH64" s="23" t="n">
        <v>9.01638716388379</v>
      </c>
      <c r="AI64" s="23" t="n">
        <v>9.20499325607215</v>
      </c>
      <c r="AJ64" s="23" t="n">
        <v>9.62807248093933</v>
      </c>
      <c r="AK64" s="23" t="n">
        <f aca="false">IF(OR(AI64="",AJ64=""),"",AI64-AJ64)</f>
        <v>-0.423079224867182</v>
      </c>
      <c r="AL64" s="23" t="n">
        <f aca="false">IF(OR(AI64="",AJ64="",AJ64=0),"",AI64/AJ64-1)</f>
        <v>-0.043942255908932</v>
      </c>
      <c r="AM64" s="23" t="n">
        <v>0</v>
      </c>
      <c r="AN64" s="23"/>
      <c r="AO64" s="23" t="s">
        <v>451</v>
      </c>
      <c r="AP64" s="23" t="s">
        <v>183</v>
      </c>
    </row>
    <row r="65" customFormat="false" ht="15" hidden="false" customHeight="false" outlineLevel="0" collapsed="false">
      <c r="A65" s="23" t="n">
        <v>63</v>
      </c>
      <c r="B65" s="23" t="n">
        <v>61</v>
      </c>
      <c r="C65" s="23" t="n">
        <v>67</v>
      </c>
      <c r="D65" s="23" t="s">
        <v>157</v>
      </c>
      <c r="E65" s="23" t="s">
        <v>336</v>
      </c>
      <c r="F65" s="23" t="s">
        <v>337</v>
      </c>
      <c r="G65" s="23" t="s">
        <v>452</v>
      </c>
      <c r="H65" s="23" t="s">
        <v>174</v>
      </c>
      <c r="I65" s="23" t="s">
        <v>175</v>
      </c>
      <c r="J65" s="23" t="n">
        <v>46249.7075244097</v>
      </c>
      <c r="K65" s="23" t="n">
        <v>1</v>
      </c>
      <c r="L65" s="23" t="n">
        <v>3</v>
      </c>
      <c r="M65" s="23" t="n">
        <f aca="false">IF(OR(K65="",L65=""),"",K65*L65*3)</f>
        <v>9</v>
      </c>
      <c r="N65" s="23" t="s">
        <v>339</v>
      </c>
      <c r="O65" s="23" t="n">
        <v>9.005453</v>
      </c>
      <c r="P65" s="23" t="n">
        <v>8.504037</v>
      </c>
      <c r="Q65" s="23" t="n">
        <v>9.171236</v>
      </c>
      <c r="R65" s="23" t="s">
        <v>164</v>
      </c>
      <c r="S65" s="23" t="s">
        <v>340</v>
      </c>
      <c r="T65" s="23" t="s">
        <v>18</v>
      </c>
      <c r="U65" s="23" t="s">
        <v>341</v>
      </c>
      <c r="V65" s="23" t="s">
        <v>342</v>
      </c>
      <c r="W65" s="23" t="s">
        <v>453</v>
      </c>
      <c r="X65" s="23" t="n">
        <v>8.454125</v>
      </c>
      <c r="Y65" s="23" t="n">
        <f aca="false">IF(OR(Q65="",X65=""),"",Q65-X65)</f>
        <v>0.717111000000001</v>
      </c>
      <c r="Z65" s="23" t="n">
        <f aca="false">IF(OR(Q65="",X65="",X65=0),"",Q65/X65-1)</f>
        <v>0.0848237990330165</v>
      </c>
      <c r="AA65" s="23" t="n">
        <v>8.37279861901381</v>
      </c>
      <c r="AB65" s="23" t="n">
        <v>7.57631294203305</v>
      </c>
      <c r="AC65" s="23" t="n">
        <v>8.47528726237997</v>
      </c>
      <c r="AD65" s="23" t="n">
        <v>6.85680852605532</v>
      </c>
      <c r="AE65" s="23" t="n">
        <f aca="false">IF(OR(AC65="",AD65=""),"",AC65-AD65)</f>
        <v>1.61847873632465</v>
      </c>
      <c r="AF65" s="23" t="n">
        <f aca="false">IF(OR(AC65="",AD65="",AD65=0),"",AC65/AD65-1)</f>
        <v>0.236039657542508</v>
      </c>
      <c r="AG65" s="23" t="n">
        <v>9.35904130328094</v>
      </c>
      <c r="AH65" s="23" t="n">
        <v>9.05865666375255</v>
      </c>
      <c r="AI65" s="23" t="n">
        <v>9.56390604698987</v>
      </c>
      <c r="AJ65" s="23" t="n">
        <v>9.56864955918712</v>
      </c>
      <c r="AK65" s="23" t="n">
        <f aca="false">IF(OR(AI65="",AJ65=""),"",AI65-AJ65)</f>
        <v>-0.00474351219724944</v>
      </c>
      <c r="AL65" s="23" t="n">
        <f aca="false">IF(OR(AI65="",AJ65="",AJ65=0),"",AI65/AJ65-1)</f>
        <v>-0.00049573476047049</v>
      </c>
      <c r="AM65" s="23" t="n">
        <v>0</v>
      </c>
      <c r="AN65" s="23"/>
      <c r="AO65" s="23" t="s">
        <v>454</v>
      </c>
      <c r="AP65" s="23" t="s">
        <v>345</v>
      </c>
    </row>
    <row r="66" customFormat="false" ht="15" hidden="false" customHeight="false" outlineLevel="0" collapsed="false">
      <c r="A66" s="23" t="n">
        <v>64</v>
      </c>
      <c r="B66" s="23" t="n">
        <v>67</v>
      </c>
      <c r="C66" s="23" t="n">
        <v>56</v>
      </c>
      <c r="D66" s="23" t="s">
        <v>157</v>
      </c>
      <c r="E66" s="23" t="s">
        <v>336</v>
      </c>
      <c r="F66" s="23" t="s">
        <v>337</v>
      </c>
      <c r="G66" s="23" t="s">
        <v>455</v>
      </c>
      <c r="H66" s="23" t="s">
        <v>174</v>
      </c>
      <c r="I66" s="23" t="s">
        <v>175</v>
      </c>
      <c r="J66" s="23" t="n">
        <v>46249.6933333449</v>
      </c>
      <c r="K66" s="23" t="n">
        <v>1</v>
      </c>
      <c r="L66" s="23" t="n">
        <v>3</v>
      </c>
      <c r="M66" s="23" t="n">
        <f aca="false">IF(OR(K66="",L66=""),"",K66*L66*3)</f>
        <v>9</v>
      </c>
      <c r="N66" s="23" t="s">
        <v>339</v>
      </c>
      <c r="O66" s="23" t="n">
        <v>8.448537</v>
      </c>
      <c r="P66" s="23" t="n">
        <v>8.753004</v>
      </c>
      <c r="Q66" s="23" t="n">
        <v>9.170523</v>
      </c>
      <c r="R66" s="23" t="s">
        <v>164</v>
      </c>
      <c r="S66" s="23" t="s">
        <v>303</v>
      </c>
      <c r="T66" s="23" t="s">
        <v>18</v>
      </c>
      <c r="U66" s="23" t="s">
        <v>341</v>
      </c>
      <c r="V66" s="23" t="s">
        <v>304</v>
      </c>
      <c r="W66" s="23" t="s">
        <v>456</v>
      </c>
      <c r="X66" s="23" t="n">
        <v>8.454125</v>
      </c>
      <c r="Y66" s="23" t="n">
        <f aca="false">IF(OR(Q66="",X66=""),"",Q66-X66)</f>
        <v>0.716398</v>
      </c>
      <c r="Z66" s="23" t="n">
        <f aca="false">IF(OR(Q66="",X66="",X66=0),"",Q66/X66-1)</f>
        <v>0.0847394615054782</v>
      </c>
      <c r="AA66" s="23" t="n">
        <v>8.08481933444206</v>
      </c>
      <c r="AB66" s="23" t="n">
        <v>8.53830241003869</v>
      </c>
      <c r="AC66" s="23" t="n">
        <v>8.33265956170265</v>
      </c>
      <c r="AD66" s="23" t="n">
        <v>6.85680852605532</v>
      </c>
      <c r="AE66" s="23" t="n">
        <f aca="false">IF(OR(AC66="",AD66=""),"",AC66-AD66)</f>
        <v>1.47585103564733</v>
      </c>
      <c r="AF66" s="23" t="n">
        <f aca="false">IF(OR(AC66="",AD66="",AD66=0),"",AC66/AD66-1)</f>
        <v>0.215238770346177</v>
      </c>
      <c r="AG66" s="23" t="n">
        <v>8.64295099357905</v>
      </c>
      <c r="AH66" s="23" t="n">
        <v>8.86445513286755</v>
      </c>
      <c r="AI66" s="23" t="n">
        <v>9.65598693115729</v>
      </c>
      <c r="AJ66" s="23" t="n">
        <v>9.56864955918712</v>
      </c>
      <c r="AK66" s="23" t="n">
        <f aca="false">IF(OR(AI66="",AJ66=""),"",AI66-AJ66)</f>
        <v>0.0873373719701753</v>
      </c>
      <c r="AL66" s="23" t="n">
        <f aca="false">IF(OR(AI66="",AJ66="",AJ66=0),"",AI66/AJ66-1)</f>
        <v>0.00912745016210992</v>
      </c>
      <c r="AM66" s="23" t="n">
        <v>0</v>
      </c>
      <c r="AN66" s="23"/>
      <c r="AO66" s="23" t="s">
        <v>457</v>
      </c>
      <c r="AP66" s="23" t="s">
        <v>345</v>
      </c>
    </row>
    <row r="67" customFormat="false" ht="15" hidden="false" customHeight="false" outlineLevel="0" collapsed="false">
      <c r="A67" s="23" t="n">
        <v>65</v>
      </c>
      <c r="B67" s="23" t="n">
        <v>69</v>
      </c>
      <c r="C67" s="23" t="n">
        <v>61</v>
      </c>
      <c r="D67" s="23" t="s">
        <v>157</v>
      </c>
      <c r="E67" s="23" t="s">
        <v>288</v>
      </c>
      <c r="F67" s="23" t="s">
        <v>289</v>
      </c>
      <c r="G67" s="23" t="s">
        <v>458</v>
      </c>
      <c r="H67" s="23" t="s">
        <v>174</v>
      </c>
      <c r="I67" s="23" t="s">
        <v>175</v>
      </c>
      <c r="J67" s="23" t="n">
        <v>46249.7605263889</v>
      </c>
      <c r="K67" s="23" t="n">
        <v>1</v>
      </c>
      <c r="L67" s="23" t="n">
        <v>3</v>
      </c>
      <c r="M67" s="23" t="n">
        <f aca="false">IF(OR(K67="",L67=""),"",K67*L67*3)</f>
        <v>9</v>
      </c>
      <c r="N67" s="23" t="s">
        <v>187</v>
      </c>
      <c r="O67" s="23" t="n">
        <v>8.915874</v>
      </c>
      <c r="P67" s="23" t="n">
        <v>8.29545</v>
      </c>
      <c r="Q67" s="23" t="n">
        <v>9.140492</v>
      </c>
      <c r="R67" s="23" t="s">
        <v>164</v>
      </c>
      <c r="S67" s="23" t="s">
        <v>369</v>
      </c>
      <c r="T67" s="23" t="s">
        <v>18</v>
      </c>
      <c r="U67" s="23" t="s">
        <v>178</v>
      </c>
      <c r="V67" s="23" t="s">
        <v>459</v>
      </c>
      <c r="W67" s="23" t="s">
        <v>460</v>
      </c>
      <c r="X67" s="23" t="n">
        <v>9.065573</v>
      </c>
      <c r="Y67" s="23" t="n">
        <f aca="false">IF(OR(Q67="",X67=""),"",Q67-X67)</f>
        <v>0.0749189999999995</v>
      </c>
      <c r="Z67" s="23" t="n">
        <f aca="false">IF(OR(Q67="",X67="",X67=0),"",Q67/X67-1)</f>
        <v>0.00826412185969927</v>
      </c>
      <c r="AA67" s="23" t="n">
        <v>8.5854229522386</v>
      </c>
      <c r="AB67" s="23" t="n">
        <v>7.58481902541397</v>
      </c>
      <c r="AC67" s="23" t="n">
        <v>8.29807671239096</v>
      </c>
      <c r="AD67" s="23" t="n">
        <v>8.18140532135893</v>
      </c>
      <c r="AE67" s="23" t="n">
        <f aca="false">IF(OR(AC67="",AD67=""),"",AC67-AD67)</f>
        <v>0.116671391032035</v>
      </c>
      <c r="AF67" s="23" t="n">
        <f aca="false">IF(OR(AC67="",AD67="",AD67=0),"",AC67/AD67-1)</f>
        <v>0.0142605562796705</v>
      </c>
      <c r="AG67" s="23" t="n">
        <v>9.0908254373604</v>
      </c>
      <c r="AH67" s="23" t="n">
        <v>8.70315447247964</v>
      </c>
      <c r="AI67" s="23" t="n">
        <v>9.62926983123427</v>
      </c>
      <c r="AJ67" s="23" t="n">
        <v>9.5834141990268</v>
      </c>
      <c r="AK67" s="23" t="n">
        <f aca="false">IF(OR(AI67="",AJ67=""),"",AI67-AJ67)</f>
        <v>0.0458556322074717</v>
      </c>
      <c r="AL67" s="23" t="n">
        <f aca="false">IF(OR(AI67="",AJ67="",AJ67=0),"",AI67/AJ67-1)</f>
        <v>0.00478489515898506</v>
      </c>
      <c r="AM67" s="23" t="n">
        <v>0</v>
      </c>
      <c r="AN67" s="23"/>
      <c r="AO67" s="23" t="s">
        <v>461</v>
      </c>
      <c r="AP67" s="23" t="s">
        <v>183</v>
      </c>
    </row>
    <row r="68" customFormat="false" ht="15" hidden="false" customHeight="false" outlineLevel="0" collapsed="false">
      <c r="A68" s="23" t="n">
        <v>66</v>
      </c>
      <c r="B68" s="23" t="n">
        <v>78</v>
      </c>
      <c r="C68" s="23" t="n">
        <v>43</v>
      </c>
      <c r="D68" s="23" t="s">
        <v>157</v>
      </c>
      <c r="E68" s="23" t="s">
        <v>171</v>
      </c>
      <c r="F68" s="23" t="s">
        <v>172</v>
      </c>
      <c r="G68" s="23" t="s">
        <v>462</v>
      </c>
      <c r="H68" s="23" t="s">
        <v>174</v>
      </c>
      <c r="I68" s="23" t="s">
        <v>175</v>
      </c>
      <c r="J68" s="23" t="n">
        <v>46249.8735243519</v>
      </c>
      <c r="K68" s="23" t="n">
        <v>1</v>
      </c>
      <c r="L68" s="23" t="n">
        <v>3</v>
      </c>
      <c r="M68" s="23" t="n">
        <f aca="false">IF(OR(K68="",L68=""),"",K68*L68*3)</f>
        <v>9</v>
      </c>
      <c r="N68" s="23" t="s">
        <v>176</v>
      </c>
      <c r="O68" s="23" t="n">
        <v>8.928229</v>
      </c>
      <c r="P68" s="23" t="n">
        <v>8.548211</v>
      </c>
      <c r="Q68" s="23" t="n">
        <v>9.137372</v>
      </c>
      <c r="R68" s="23" t="s">
        <v>164</v>
      </c>
      <c r="S68" s="23" t="s">
        <v>40</v>
      </c>
      <c r="T68" s="23" t="s">
        <v>18</v>
      </c>
      <c r="U68" s="23" t="s">
        <v>178</v>
      </c>
      <c r="V68" s="23" t="s">
        <v>292</v>
      </c>
      <c r="W68" s="23" t="s">
        <v>291</v>
      </c>
      <c r="X68" s="23" t="n">
        <v>9.874782</v>
      </c>
      <c r="Y68" s="23" t="n">
        <f aca="false">IF(OR(Q68="",X68=""),"",Q68-X68)</f>
        <v>-0.737410000000001</v>
      </c>
      <c r="Z68" s="23" t="n">
        <f aca="false">IF(OR(Q68="",X68="",X68=0),"",Q68/X68-1)</f>
        <v>-0.0746760789250842</v>
      </c>
      <c r="AA68" s="23" t="n">
        <v>8.318275</v>
      </c>
      <c r="AB68" s="23" t="n">
        <v>7.82657</v>
      </c>
      <c r="AC68" s="23" t="n">
        <v>8.147957</v>
      </c>
      <c r="AD68" s="23" t="n">
        <v>8.895737</v>
      </c>
      <c r="AE68" s="23" t="n">
        <f aca="false">IF(OR(AC68="",AD68=""),"",AC68-AD68)</f>
        <v>-0.747780000000001</v>
      </c>
      <c r="AF68" s="23" t="n">
        <f aca="false">IF(OR(AC68="",AD68="",AD68=0),"",AC68/AD68-1)</f>
        <v>-0.084060488748712</v>
      </c>
      <c r="AG68" s="23" t="n">
        <v>9.268027</v>
      </c>
      <c r="AH68" s="23" t="n">
        <v>8.961347</v>
      </c>
      <c r="AI68" s="23" t="n">
        <v>9.728014</v>
      </c>
      <c r="AJ68" s="23" t="n">
        <v>10.449825</v>
      </c>
      <c r="AK68" s="23" t="n">
        <f aca="false">IF(OR(AI68="",AJ68=""),"",AI68-AJ68)</f>
        <v>-0.721811000000001</v>
      </c>
      <c r="AL68" s="23" t="n">
        <f aca="false">IF(OR(AI68="",AJ68="",AJ68=0),"",AI68/AJ68-1)</f>
        <v>-0.0690739797077942</v>
      </c>
      <c r="AM68" s="23" t="n">
        <v>0</v>
      </c>
      <c r="AN68" s="23"/>
      <c r="AO68" s="23" t="s">
        <v>463</v>
      </c>
      <c r="AP68" s="23" t="s">
        <v>183</v>
      </c>
    </row>
    <row r="69" customFormat="false" ht="15" hidden="false" customHeight="false" outlineLevel="0" collapsed="false">
      <c r="A69" s="23" t="n">
        <v>67</v>
      </c>
      <c r="B69" s="23" t="n">
        <v>71</v>
      </c>
      <c r="C69" s="23" t="n">
        <v>62</v>
      </c>
      <c r="D69" s="23" t="s">
        <v>157</v>
      </c>
      <c r="E69" s="23" t="s">
        <v>184</v>
      </c>
      <c r="F69" s="23" t="s">
        <v>185</v>
      </c>
      <c r="G69" s="23" t="s">
        <v>187</v>
      </c>
      <c r="H69" s="23" t="s">
        <v>174</v>
      </c>
      <c r="I69" s="23" t="s">
        <v>175</v>
      </c>
      <c r="J69" s="23" t="n">
        <v>46249.8042710301</v>
      </c>
      <c r="K69" s="23" t="n">
        <v>1</v>
      </c>
      <c r="L69" s="23" t="n">
        <v>3</v>
      </c>
      <c r="M69" s="23" t="n">
        <f aca="false">IF(OR(K69="",L69=""),"",K69*L69*3)</f>
        <v>9</v>
      </c>
      <c r="N69" s="23" t="s">
        <v>187</v>
      </c>
      <c r="O69" s="23" t="n">
        <v>8.905089</v>
      </c>
      <c r="P69" s="23" t="n">
        <v>8.704763</v>
      </c>
      <c r="Q69" s="23" t="n">
        <v>9.128501</v>
      </c>
      <c r="R69" s="23" t="s">
        <v>164</v>
      </c>
      <c r="S69" s="23" t="s">
        <v>132</v>
      </c>
      <c r="T69" s="23" t="s">
        <v>18</v>
      </c>
      <c r="U69" s="23" t="s">
        <v>178</v>
      </c>
      <c r="V69" s="23" t="s">
        <v>207</v>
      </c>
      <c r="W69" s="23" t="s">
        <v>207</v>
      </c>
      <c r="X69" s="23" t="n">
        <v>9.128501</v>
      </c>
      <c r="Y69" s="23" t="n">
        <f aca="false">IF(OR(Q69="",X69=""),"",Q69-X69)</f>
        <v>0</v>
      </c>
      <c r="Z69" s="23" t="n">
        <f aca="false">IF(OR(Q69="",X69="",X69=0),"",Q69/X69-1)</f>
        <v>0</v>
      </c>
      <c r="AA69" s="23" t="n">
        <v>8.65891366296762</v>
      </c>
      <c r="AB69" s="23" t="n">
        <v>8.32133742250908</v>
      </c>
      <c r="AC69" s="23" t="n">
        <v>8.27026407471985</v>
      </c>
      <c r="AD69" s="23" t="n">
        <v>8.27026407471985</v>
      </c>
      <c r="AE69" s="23" t="n">
        <f aca="false">IF(OR(AC69="",AD69=""),"",AC69-AD69)</f>
        <v>0</v>
      </c>
      <c r="AF69" s="23" t="n">
        <f aca="false">IF(OR(AC69="",AD69="",AD69=0),"",AC69/AD69-1)</f>
        <v>0</v>
      </c>
      <c r="AG69" s="23" t="n">
        <v>9.03350153660742</v>
      </c>
      <c r="AH69" s="23" t="n">
        <v>8.91003829854574</v>
      </c>
      <c r="AI69" s="23" t="n">
        <v>9.62807248093933</v>
      </c>
      <c r="AJ69" s="23" t="n">
        <v>9.62807248093933</v>
      </c>
      <c r="AK69" s="23" t="n">
        <f aca="false">IF(OR(AI69="",AJ69=""),"",AI69-AJ69)</f>
        <v>0</v>
      </c>
      <c r="AL69" s="23" t="n">
        <f aca="false">IF(OR(AI69="",AJ69="",AJ69=0),"",AI69/AJ69-1)</f>
        <v>0</v>
      </c>
      <c r="AM69" s="23" t="n">
        <v>0</v>
      </c>
      <c r="AN69" s="23"/>
      <c r="AO69" s="23" t="s">
        <v>464</v>
      </c>
      <c r="AP69" s="23" t="s">
        <v>183</v>
      </c>
    </row>
    <row r="70" customFormat="false" ht="15" hidden="false" customHeight="false" outlineLevel="0" collapsed="false">
      <c r="A70" s="23" t="n">
        <v>68</v>
      </c>
      <c r="B70" s="23" t="n">
        <v>26</v>
      </c>
      <c r="C70" s="23" t="n">
        <v>83</v>
      </c>
      <c r="D70" s="23" t="s">
        <v>157</v>
      </c>
      <c r="E70" s="23" t="s">
        <v>158</v>
      </c>
      <c r="F70" s="23" t="s">
        <v>159</v>
      </c>
      <c r="G70" s="23" t="s">
        <v>465</v>
      </c>
      <c r="H70" s="23" t="s">
        <v>161</v>
      </c>
      <c r="I70" s="23" t="s">
        <v>162</v>
      </c>
      <c r="J70" s="23" t="n">
        <v>46250.4973890857</v>
      </c>
      <c r="K70" s="23" t="n">
        <v>1</v>
      </c>
      <c r="L70" s="23" t="n">
        <v>3</v>
      </c>
      <c r="M70" s="23" t="n">
        <f aca="false">IF(OR(K70="",L70=""),"",K70*L70*3)</f>
        <v>9</v>
      </c>
      <c r="N70" s="23" t="s">
        <v>163</v>
      </c>
      <c r="O70" s="23" t="n">
        <v>8.809287</v>
      </c>
      <c r="P70" s="23" t="n">
        <v>8.890008</v>
      </c>
      <c r="Q70" s="23" t="n">
        <v>9.125468</v>
      </c>
      <c r="R70" s="23" t="s">
        <v>164</v>
      </c>
      <c r="S70" s="23" t="s">
        <v>74</v>
      </c>
      <c r="T70" s="23" t="s">
        <v>18</v>
      </c>
      <c r="U70" s="23" t="s">
        <v>166</v>
      </c>
      <c r="V70" s="23" t="s">
        <v>229</v>
      </c>
      <c r="W70" s="23" t="s">
        <v>466</v>
      </c>
      <c r="X70" s="23" t="n">
        <v>9.596545</v>
      </c>
      <c r="Y70" s="23" t="n">
        <f aca="false">IF(OR(Q70="",X70=""),"",Q70-X70)</f>
        <v>-0.471077000000001</v>
      </c>
      <c r="Z70" s="23" t="n">
        <f aca="false">IF(OR(Q70="",X70="",X70=0),"",Q70/X70-1)</f>
        <v>-0.0490881874674689</v>
      </c>
      <c r="AA70" s="23" t="n">
        <v>8.18573818851046</v>
      </c>
      <c r="AB70" s="23" t="n">
        <v>8.49742314620724</v>
      </c>
      <c r="AC70" s="23" t="n">
        <v>8.86604769897733</v>
      </c>
      <c r="AD70" s="23" t="n">
        <v>8.46428544862225</v>
      </c>
      <c r="AE70" s="23" t="n">
        <f aca="false">IF(OR(AC70="",AD70=""),"",AC70-AD70)</f>
        <v>0.40176225035508</v>
      </c>
      <c r="AF70" s="23" t="n">
        <f aca="false">IF(OR(AC70="",AD70="",AD70=0),"",AC70/AD70-1)</f>
        <v>0.0474655838102054</v>
      </c>
      <c r="AG70" s="23" t="n">
        <v>9.15809660945945</v>
      </c>
      <c r="AH70" s="23" t="n">
        <v>9.10022456564206</v>
      </c>
      <c r="AI70" s="23" t="n">
        <v>9.26095627998893</v>
      </c>
      <c r="AJ70" s="23" t="n">
        <v>10.2844123721585</v>
      </c>
      <c r="AK70" s="23" t="n">
        <f aca="false">IF(OR(AI70="",AJ70=""),"",AI70-AJ70)</f>
        <v>-1.02345609216956</v>
      </c>
      <c r="AL70" s="23" t="n">
        <f aca="false">IF(OR(AI70="",AJ70="",AJ70=0),"",AI70/AJ70-1)</f>
        <v>-0.0995152717660578</v>
      </c>
      <c r="AM70" s="23" t="n">
        <v>0</v>
      </c>
      <c r="AN70" s="23" t="s">
        <v>169</v>
      </c>
      <c r="AO70" s="23" t="s">
        <v>467</v>
      </c>
      <c r="AP70" s="23" t="s">
        <v>80</v>
      </c>
    </row>
    <row r="71" customFormat="false" ht="15" hidden="false" customHeight="false" outlineLevel="0" collapsed="false">
      <c r="A71" s="23" t="n">
        <v>69</v>
      </c>
      <c r="B71" s="23" t="n">
        <v>64</v>
      </c>
      <c r="C71" s="23" t="n">
        <v>75</v>
      </c>
      <c r="D71" s="23" t="s">
        <v>157</v>
      </c>
      <c r="E71" s="23" t="s">
        <v>288</v>
      </c>
      <c r="F71" s="23" t="s">
        <v>289</v>
      </c>
      <c r="G71" s="23" t="s">
        <v>468</v>
      </c>
      <c r="H71" s="23" t="s">
        <v>174</v>
      </c>
      <c r="I71" s="23" t="s">
        <v>175</v>
      </c>
      <c r="J71" s="23" t="n">
        <v>46249.7748257176</v>
      </c>
      <c r="K71" s="23" t="n">
        <v>1</v>
      </c>
      <c r="L71" s="23" t="n">
        <v>3</v>
      </c>
      <c r="M71" s="23" t="n">
        <f aca="false">IF(OR(K71="",L71=""),"",K71*L71*3)</f>
        <v>9</v>
      </c>
      <c r="N71" s="23" t="s">
        <v>187</v>
      </c>
      <c r="O71" s="23" t="n">
        <v>8.958298</v>
      </c>
      <c r="P71" s="23" t="n">
        <v>8.338757</v>
      </c>
      <c r="Q71" s="23" t="n">
        <v>9.111299</v>
      </c>
      <c r="R71" s="23" t="s">
        <v>164</v>
      </c>
      <c r="S71" s="23" t="s">
        <v>469</v>
      </c>
      <c r="T71" s="23" t="s">
        <v>18</v>
      </c>
      <c r="U71" s="23" t="s">
        <v>178</v>
      </c>
      <c r="V71" s="23" t="s">
        <v>470</v>
      </c>
      <c r="W71" s="23" t="s">
        <v>471</v>
      </c>
      <c r="X71" s="23" t="n">
        <v>9.065573</v>
      </c>
      <c r="Y71" s="23" t="n">
        <f aca="false">IF(OR(Q71="",X71=""),"",Q71-X71)</f>
        <v>0.0457260000000002</v>
      </c>
      <c r="Z71" s="23" t="n">
        <f aca="false">IF(OR(Q71="",X71="",X71=0),"",Q71/X71-1)</f>
        <v>0.00504391724604725</v>
      </c>
      <c r="AA71" s="23" t="n">
        <v>8.28521774675325</v>
      </c>
      <c r="AB71" s="23" t="n">
        <v>7.45381320289495</v>
      </c>
      <c r="AC71" s="23" t="n">
        <v>8.45371044517268</v>
      </c>
      <c r="AD71" s="23" t="n">
        <v>8.18140532135893</v>
      </c>
      <c r="AE71" s="23" t="n">
        <f aca="false">IF(OR(AC71="",AD71=""),"",AC71-AD71)</f>
        <v>0.272305123813753</v>
      </c>
      <c r="AF71" s="23" t="n">
        <f aca="false">IF(OR(AC71="",AD71="",AD71=0),"",AC71/AD71-1)</f>
        <v>0.0332834168602862</v>
      </c>
      <c r="AG71" s="23" t="n">
        <v>9.33758447622913</v>
      </c>
      <c r="AH71" s="23" t="n">
        <v>8.86499945735006</v>
      </c>
      <c r="AI71" s="23" t="n">
        <v>9.48000909050401</v>
      </c>
      <c r="AJ71" s="23" t="n">
        <v>9.5834141990268</v>
      </c>
      <c r="AK71" s="23" t="n">
        <f aca="false">IF(OR(AI71="",AJ71=""),"",AI71-AJ71)</f>
        <v>-0.103405108522788</v>
      </c>
      <c r="AL71" s="23" t="n">
        <f aca="false">IF(OR(AI71="",AJ71="",AJ71=0),"",AI71/AJ71-1)</f>
        <v>-0.0107900072328386</v>
      </c>
      <c r="AM71" s="23" t="n">
        <v>0</v>
      </c>
      <c r="AN71" s="23"/>
      <c r="AO71" s="23" t="s">
        <v>472</v>
      </c>
      <c r="AP71" s="23" t="s">
        <v>183</v>
      </c>
    </row>
    <row r="72" customFormat="false" ht="15" hidden="false" customHeight="false" outlineLevel="0" collapsed="false">
      <c r="A72" s="23" t="n">
        <v>70</v>
      </c>
      <c r="B72" s="23" t="n">
        <v>88</v>
      </c>
      <c r="C72" s="23" t="n">
        <v>33</v>
      </c>
      <c r="D72" s="23" t="s">
        <v>157</v>
      </c>
      <c r="E72" s="23" t="s">
        <v>265</v>
      </c>
      <c r="F72" s="23" t="s">
        <v>266</v>
      </c>
      <c r="G72" s="23" t="s">
        <v>473</v>
      </c>
      <c r="H72" s="23" t="s">
        <v>174</v>
      </c>
      <c r="I72" s="23" t="s">
        <v>175</v>
      </c>
      <c r="J72" s="23" t="n">
        <v>46249.5988100579</v>
      </c>
      <c r="K72" s="23" t="n">
        <v>1</v>
      </c>
      <c r="L72" s="23" t="n">
        <v>3</v>
      </c>
      <c r="M72" s="23" t="n">
        <f aca="false">IF(OR(K72="",L72=""),"",K72*L72*3)</f>
        <v>9</v>
      </c>
      <c r="N72" s="23" t="s">
        <v>268</v>
      </c>
      <c r="O72" s="23" t="n">
        <v>9.005814</v>
      </c>
      <c r="P72" s="23" t="n">
        <v>8.424321</v>
      </c>
      <c r="Q72" s="23" t="n">
        <v>9.106232</v>
      </c>
      <c r="R72" s="23" t="s">
        <v>164</v>
      </c>
      <c r="S72" s="23" t="s">
        <v>474</v>
      </c>
      <c r="T72" s="23" t="s">
        <v>18</v>
      </c>
      <c r="U72" s="23" t="s">
        <v>270</v>
      </c>
      <c r="V72" s="23" t="s">
        <v>475</v>
      </c>
      <c r="W72" s="23" t="s">
        <v>476</v>
      </c>
      <c r="X72" s="23" t="n">
        <v>9.030784</v>
      </c>
      <c r="Y72" s="23" t="n">
        <f aca="false">IF(OR(Q72="",X72=""),"",Q72-X72)</f>
        <v>0.0754479999999997</v>
      </c>
      <c r="Z72" s="23" t="n">
        <f aca="false">IF(OR(Q72="",X72="",X72=0),"",Q72/X72-1)</f>
        <v>0.00835453488866533</v>
      </c>
      <c r="AA72" s="23" t="n">
        <v>8.37398929627368</v>
      </c>
      <c r="AB72" s="23" t="n">
        <v>7.66912311145568</v>
      </c>
      <c r="AC72" s="23" t="n">
        <v>7.63531077418108</v>
      </c>
      <c r="AD72" s="23" t="n">
        <v>7.92485409035487</v>
      </c>
      <c r="AE72" s="23" t="n">
        <f aca="false">IF(OR(AC72="",AD72=""),"",AC72-AD72)</f>
        <v>-0.28954331617379</v>
      </c>
      <c r="AF72" s="23" t="n">
        <f aca="false">IF(OR(AC72="",AD72="",AD72=0),"",AC72/AD72-1)</f>
        <v>-0.0365361068951648</v>
      </c>
      <c r="AG72" s="23" t="n">
        <v>9.35888197770262</v>
      </c>
      <c r="AH72" s="23" t="n">
        <v>8.86058332480191</v>
      </c>
      <c r="AI72" s="23" t="n">
        <v>10.0768729219224</v>
      </c>
      <c r="AJ72" s="23" t="n">
        <v>9.70818320266672</v>
      </c>
      <c r="AK72" s="23" t="n">
        <f aca="false">IF(OR(AI72="",AJ72=""),"",AI72-AJ72)</f>
        <v>0.368689719255691</v>
      </c>
      <c r="AL72" s="23" t="n">
        <f aca="false">IF(OR(AI72="",AJ72="",AJ72=0),"",AI72/AJ72-1)</f>
        <v>0.0379772107261447</v>
      </c>
      <c r="AM72" s="23" t="n">
        <v>0</v>
      </c>
      <c r="AN72" s="23"/>
      <c r="AO72" s="23" t="s">
        <v>477</v>
      </c>
      <c r="AP72" s="23" t="s">
        <v>274</v>
      </c>
    </row>
    <row r="73" customFormat="false" ht="15" hidden="false" customHeight="false" outlineLevel="0" collapsed="false">
      <c r="A73" s="23" t="n">
        <v>71</v>
      </c>
      <c r="B73" s="23" t="n">
        <v>65</v>
      </c>
      <c r="C73" s="23" t="n">
        <v>72</v>
      </c>
      <c r="D73" s="23" t="s">
        <v>157</v>
      </c>
      <c r="E73" s="23" t="s">
        <v>184</v>
      </c>
      <c r="F73" s="23" t="s">
        <v>185</v>
      </c>
      <c r="G73" s="23" t="s">
        <v>478</v>
      </c>
      <c r="H73" s="23" t="s">
        <v>174</v>
      </c>
      <c r="I73" s="23" t="s">
        <v>175</v>
      </c>
      <c r="J73" s="23" t="n">
        <v>46249.8269305208</v>
      </c>
      <c r="K73" s="23" t="n">
        <v>1</v>
      </c>
      <c r="L73" s="23" t="n">
        <v>3</v>
      </c>
      <c r="M73" s="23" t="n">
        <f aca="false">IF(OR(K73="",L73=""),"",K73*L73*3)</f>
        <v>9</v>
      </c>
      <c r="N73" s="23" t="s">
        <v>187</v>
      </c>
      <c r="O73" s="23" t="n">
        <v>8.660426</v>
      </c>
      <c r="P73" s="23" t="n">
        <v>8.240496</v>
      </c>
      <c r="Q73" s="23" t="n">
        <v>9.09929</v>
      </c>
      <c r="R73" s="23" t="s">
        <v>164</v>
      </c>
      <c r="S73" s="23" t="s">
        <v>479</v>
      </c>
      <c r="T73" s="23" t="s">
        <v>18</v>
      </c>
      <c r="U73" s="23" t="s">
        <v>178</v>
      </c>
      <c r="V73" s="23" t="s">
        <v>480</v>
      </c>
      <c r="W73" s="23" t="s">
        <v>481</v>
      </c>
      <c r="X73" s="23" t="n">
        <v>9.128501</v>
      </c>
      <c r="Y73" s="23" t="n">
        <f aca="false">IF(OR(Q73="",X73=""),"",Q73-X73)</f>
        <v>-0.0292110000000001</v>
      </c>
      <c r="Z73" s="23" t="n">
        <f aca="false">IF(OR(Q73="",X73="",X73=0),"",Q73/X73-1)</f>
        <v>-0.00319997774004732</v>
      </c>
      <c r="AA73" s="23" t="n">
        <v>8.03735911982294</v>
      </c>
      <c r="AB73" s="23" t="n">
        <v>7.53047160112831</v>
      </c>
      <c r="AC73" s="23" t="n">
        <v>8.39911817583258</v>
      </c>
      <c r="AD73" s="23" t="n">
        <v>8.27026407471985</v>
      </c>
      <c r="AE73" s="23" t="n">
        <f aca="false">IF(OR(AC73="",AD73=""),"",AC73-AD73)</f>
        <v>0.12885410111272</v>
      </c>
      <c r="AF73" s="23" t="n">
        <f aca="false">IF(OR(AC73="",AD73="",AD73=0),"",AC73/AD73-1)</f>
        <v>0.0155804095187959</v>
      </c>
      <c r="AG73" s="23" t="n">
        <v>9.00964614201117</v>
      </c>
      <c r="AH73" s="23" t="n">
        <v>8.64820130779871</v>
      </c>
      <c r="AI73" s="23" t="n">
        <v>9.49505550559898</v>
      </c>
      <c r="AJ73" s="23" t="n">
        <v>9.62807248093933</v>
      </c>
      <c r="AK73" s="23" t="n">
        <f aca="false">IF(OR(AI73="",AJ73=""),"",AI73-AJ73)</f>
        <v>-0.133016975340357</v>
      </c>
      <c r="AL73" s="23" t="n">
        <f aca="false">IF(OR(AI73="",AJ73="",AJ73=0),"",AI73/AJ73-1)</f>
        <v>-0.0138155353113192</v>
      </c>
      <c r="AM73" s="23" t="n">
        <v>0</v>
      </c>
      <c r="AN73" s="23"/>
      <c r="AO73" s="23" t="s">
        <v>482</v>
      </c>
      <c r="AP73" s="23" t="s">
        <v>183</v>
      </c>
    </row>
    <row r="74" customFormat="false" ht="15" hidden="false" customHeight="false" outlineLevel="0" collapsed="false">
      <c r="A74" s="23" t="n">
        <v>72</v>
      </c>
      <c r="B74" s="23" t="n">
        <v>77</v>
      </c>
      <c r="C74" s="23" t="n">
        <v>65</v>
      </c>
      <c r="D74" s="23" t="s">
        <v>157</v>
      </c>
      <c r="E74" s="23" t="s">
        <v>288</v>
      </c>
      <c r="F74" s="23" t="s">
        <v>289</v>
      </c>
      <c r="G74" s="23" t="s">
        <v>187</v>
      </c>
      <c r="H74" s="23" t="s">
        <v>174</v>
      </c>
      <c r="I74" s="23" t="s">
        <v>175</v>
      </c>
      <c r="J74" s="23" t="n">
        <v>46249.7576809838</v>
      </c>
      <c r="K74" s="23" t="n">
        <v>1</v>
      </c>
      <c r="L74" s="23" t="n">
        <v>3</v>
      </c>
      <c r="M74" s="23" t="n">
        <f aca="false">IF(OR(K74="",L74=""),"",K74*L74*3)</f>
        <v>9</v>
      </c>
      <c r="N74" s="23" t="s">
        <v>187</v>
      </c>
      <c r="O74" s="23" t="n">
        <v>8.784608</v>
      </c>
      <c r="P74" s="23" t="n">
        <v>8.478844</v>
      </c>
      <c r="Q74" s="23" t="n">
        <v>9.065573</v>
      </c>
      <c r="R74" s="23" t="s">
        <v>164</v>
      </c>
      <c r="S74" s="23" t="s">
        <v>132</v>
      </c>
      <c r="T74" s="23" t="s">
        <v>18</v>
      </c>
      <c r="U74" s="23" t="s">
        <v>178</v>
      </c>
      <c r="V74" s="23" t="s">
        <v>207</v>
      </c>
      <c r="W74" s="23" t="s">
        <v>207</v>
      </c>
      <c r="X74" s="23" t="n">
        <v>9.065573</v>
      </c>
      <c r="Y74" s="23" t="n">
        <f aca="false">IF(OR(Q74="",X74=""),"",Q74-X74)</f>
        <v>0</v>
      </c>
      <c r="Z74" s="23" t="n">
        <f aca="false">IF(OR(Q74="",X74="",X74=0),"",Q74/X74-1)</f>
        <v>0</v>
      </c>
      <c r="AA74" s="23" t="n">
        <v>8.26163875469034</v>
      </c>
      <c r="AB74" s="23" t="n">
        <v>7.66819202986244</v>
      </c>
      <c r="AC74" s="23" t="n">
        <v>8.18140532135893</v>
      </c>
      <c r="AD74" s="23" t="n">
        <v>8.18140532135893</v>
      </c>
      <c r="AE74" s="23" t="n">
        <f aca="false">IF(OR(AC74="",AD74=""),"",AC74-AD74)</f>
        <v>0</v>
      </c>
      <c r="AF74" s="23" t="n">
        <f aca="false">IF(OR(AC74="",AD74="",AD74=0),"",AC74/AD74-1)</f>
        <v>0</v>
      </c>
      <c r="AG74" s="23" t="n">
        <v>9.07173320875006</v>
      </c>
      <c r="AH74" s="23" t="n">
        <v>8.95203081022749</v>
      </c>
      <c r="AI74" s="23" t="n">
        <v>9.5834141990268</v>
      </c>
      <c r="AJ74" s="23" t="n">
        <v>9.5834141990268</v>
      </c>
      <c r="AK74" s="23" t="n">
        <f aca="false">IF(OR(AI74="",AJ74=""),"",AI74-AJ74)</f>
        <v>0</v>
      </c>
      <c r="AL74" s="23" t="n">
        <f aca="false">IF(OR(AI74="",AJ74="",AJ74=0),"",AI74/AJ74-1)</f>
        <v>0</v>
      </c>
      <c r="AM74" s="23" t="n">
        <v>0</v>
      </c>
      <c r="AN74" s="23"/>
      <c r="AO74" s="23" t="s">
        <v>483</v>
      </c>
      <c r="AP74" s="23" t="s">
        <v>183</v>
      </c>
    </row>
    <row r="75" customFormat="false" ht="15" hidden="false" customHeight="false" outlineLevel="0" collapsed="false">
      <c r="A75" s="23" t="n">
        <v>73</v>
      </c>
      <c r="B75" s="23" t="n">
        <v>62</v>
      </c>
      <c r="C75" s="23" t="n">
        <v>79</v>
      </c>
      <c r="D75" s="23" t="s">
        <v>157</v>
      </c>
      <c r="E75" s="23" t="s">
        <v>265</v>
      </c>
      <c r="F75" s="23" t="s">
        <v>266</v>
      </c>
      <c r="G75" s="23" t="s">
        <v>484</v>
      </c>
      <c r="H75" s="23" t="s">
        <v>174</v>
      </c>
      <c r="I75" s="23" t="s">
        <v>175</v>
      </c>
      <c r="J75" s="23" t="n">
        <v>46249.6044241088</v>
      </c>
      <c r="K75" s="23" t="n">
        <v>1</v>
      </c>
      <c r="L75" s="23" t="n">
        <v>3</v>
      </c>
      <c r="M75" s="23" t="n">
        <f aca="false">IF(OR(K75="",L75=""),"",K75*L75*3)</f>
        <v>9</v>
      </c>
      <c r="N75" s="23" t="s">
        <v>268</v>
      </c>
      <c r="O75" s="23" t="n">
        <v>9.218786</v>
      </c>
      <c r="P75" s="23" t="n">
        <v>8.438644</v>
      </c>
      <c r="Q75" s="23" t="n">
        <v>9.060757</v>
      </c>
      <c r="R75" s="23" t="s">
        <v>164</v>
      </c>
      <c r="S75" s="23" t="s">
        <v>340</v>
      </c>
      <c r="T75" s="23" t="s">
        <v>18</v>
      </c>
      <c r="U75" s="23" t="s">
        <v>270</v>
      </c>
      <c r="V75" s="23" t="s">
        <v>342</v>
      </c>
      <c r="W75" s="23" t="s">
        <v>343</v>
      </c>
      <c r="X75" s="23" t="n">
        <v>9.030784</v>
      </c>
      <c r="Y75" s="23" t="n">
        <f aca="false">IF(OR(Q75="",X75=""),"",Q75-X75)</f>
        <v>0.029973</v>
      </c>
      <c r="Z75" s="23" t="n">
        <f aca="false">IF(OR(Q75="",X75="",X75=0),"",Q75/X75-1)</f>
        <v>0.00331898094340422</v>
      </c>
      <c r="AA75" s="23" t="n">
        <v>8.9213261740617</v>
      </c>
      <c r="AB75" s="23" t="n">
        <v>7.84416080834738</v>
      </c>
      <c r="AC75" s="23" t="n">
        <v>8.46523636950447</v>
      </c>
      <c r="AD75" s="23" t="n">
        <v>7.92485409035487</v>
      </c>
      <c r="AE75" s="23" t="n">
        <f aca="false">IF(OR(AC75="",AD75=""),"",AC75-AD75)</f>
        <v>0.540382279149604</v>
      </c>
      <c r="AF75" s="23" t="n">
        <f aca="false">IF(OR(AC75="",AD75="",AD75=0),"",AC75/AD75-1)</f>
        <v>0.0681882938144298</v>
      </c>
      <c r="AG75" s="23" t="n">
        <v>9.37508059990877</v>
      </c>
      <c r="AH75" s="23" t="n">
        <v>8.77100765962922</v>
      </c>
      <c r="AI75" s="23" t="n">
        <v>9.39108384633135</v>
      </c>
      <c r="AJ75" s="23" t="n">
        <v>9.70818320266672</v>
      </c>
      <c r="AK75" s="23" t="n">
        <f aca="false">IF(OR(AI75="",AJ75=""),"",AI75-AJ75)</f>
        <v>-0.317099356335374</v>
      </c>
      <c r="AL75" s="23" t="n">
        <f aca="false">IF(OR(AI75="",AJ75="",AJ75=0),"",AI75/AJ75-1)</f>
        <v>-0.0326630997495259</v>
      </c>
      <c r="AM75" s="23" t="n">
        <v>0</v>
      </c>
      <c r="AN75" s="23"/>
      <c r="AO75" s="23" t="s">
        <v>485</v>
      </c>
      <c r="AP75" s="23" t="s">
        <v>274</v>
      </c>
    </row>
    <row r="76" customFormat="false" ht="15" hidden="false" customHeight="false" outlineLevel="0" collapsed="false">
      <c r="A76" s="23" t="n">
        <v>74</v>
      </c>
      <c r="B76" s="23" t="n">
        <v>81</v>
      </c>
      <c r="C76" s="23" t="n">
        <v>64</v>
      </c>
      <c r="D76" s="23" t="s">
        <v>157</v>
      </c>
      <c r="E76" s="23" t="s">
        <v>184</v>
      </c>
      <c r="F76" s="23" t="s">
        <v>185</v>
      </c>
      <c r="G76" s="23" t="s">
        <v>486</v>
      </c>
      <c r="H76" s="23" t="s">
        <v>174</v>
      </c>
      <c r="I76" s="23" t="s">
        <v>175</v>
      </c>
      <c r="J76" s="23" t="n">
        <v>46249.8071129167</v>
      </c>
      <c r="K76" s="23" t="n">
        <v>1</v>
      </c>
      <c r="L76" s="23" t="n">
        <v>3</v>
      </c>
      <c r="M76" s="23" t="n">
        <f aca="false">IF(OR(K76="",L76=""),"",K76*L76*3)</f>
        <v>9</v>
      </c>
      <c r="N76" s="23" t="s">
        <v>187</v>
      </c>
      <c r="O76" s="23" t="n">
        <v>9.021223</v>
      </c>
      <c r="P76" s="23" t="n">
        <v>8.250651</v>
      </c>
      <c r="Q76" s="23" t="n">
        <v>9.040841</v>
      </c>
      <c r="R76" s="23" t="s">
        <v>164</v>
      </c>
      <c r="S76" s="23" t="s">
        <v>487</v>
      </c>
      <c r="T76" s="23" t="s">
        <v>18</v>
      </c>
      <c r="U76" s="23" t="s">
        <v>178</v>
      </c>
      <c r="V76" s="23" t="s">
        <v>488</v>
      </c>
      <c r="W76" s="23" t="s">
        <v>489</v>
      </c>
      <c r="X76" s="23" t="n">
        <v>9.128501</v>
      </c>
      <c r="Y76" s="23" t="n">
        <f aca="false">IF(OR(Q76="",X76=""),"",Q76-X76)</f>
        <v>-0.0876599999999996</v>
      </c>
      <c r="Z76" s="23" t="n">
        <f aca="false">IF(OR(Q76="",X76="",X76=0),"",Q76/X76-1)</f>
        <v>-0.00960289098944056</v>
      </c>
      <c r="AA76" s="23" t="n">
        <v>8.91823951365635</v>
      </c>
      <c r="AB76" s="23" t="n">
        <v>7.55195682955625</v>
      </c>
      <c r="AC76" s="23" t="n">
        <v>8.08797656822846</v>
      </c>
      <c r="AD76" s="23" t="n">
        <v>8.27026407471985</v>
      </c>
      <c r="AE76" s="23" t="n">
        <f aca="false">IF(OR(AC76="",AD76=""),"",AC76-AD76)</f>
        <v>-0.182287506491392</v>
      </c>
      <c r="AF76" s="23" t="n">
        <f aca="false">IF(OR(AC76="",AD76="",AD76=0),"",AC76/AD76-1)</f>
        <v>-0.0220413163164401</v>
      </c>
      <c r="AG76" s="23" t="n">
        <v>9.07361138635988</v>
      </c>
      <c r="AH76" s="23" t="n">
        <v>8.65083103572209</v>
      </c>
      <c r="AI76" s="23" t="n">
        <v>9.6067375079483</v>
      </c>
      <c r="AJ76" s="23" t="n">
        <v>9.62807248093933</v>
      </c>
      <c r="AK76" s="23" t="n">
        <f aca="false">IF(OR(AI76="",AJ76=""),"",AI76-AJ76)</f>
        <v>-0.0213349729910313</v>
      </c>
      <c r="AL76" s="23" t="n">
        <f aca="false">IF(OR(AI76="",AJ76="",AJ76=0),"",AI76/AJ76-1)</f>
        <v>-0.00221591320934367</v>
      </c>
      <c r="AM76" s="23" t="n">
        <v>0</v>
      </c>
      <c r="AN76" s="23"/>
      <c r="AO76" s="23" t="s">
        <v>490</v>
      </c>
      <c r="AP76" s="23" t="s">
        <v>183</v>
      </c>
    </row>
    <row r="77" customFormat="false" ht="15" hidden="false" customHeight="false" outlineLevel="0" collapsed="false">
      <c r="A77" s="23" t="n">
        <v>75</v>
      </c>
      <c r="B77" s="23" t="n">
        <v>72</v>
      </c>
      <c r="C77" s="23" t="n">
        <v>73</v>
      </c>
      <c r="D77" s="23" t="s">
        <v>157</v>
      </c>
      <c r="E77" s="23" t="s">
        <v>336</v>
      </c>
      <c r="F77" s="23" t="s">
        <v>337</v>
      </c>
      <c r="G77" s="23" t="s">
        <v>491</v>
      </c>
      <c r="H77" s="23" t="s">
        <v>174</v>
      </c>
      <c r="I77" s="23" t="s">
        <v>175</v>
      </c>
      <c r="J77" s="23" t="n">
        <v>46249.6819113773</v>
      </c>
      <c r="K77" s="23" t="n">
        <v>1</v>
      </c>
      <c r="L77" s="23" t="n">
        <v>3</v>
      </c>
      <c r="M77" s="23" t="n">
        <f aca="false">IF(OR(K77="",L77=""),"",K77*L77*3)</f>
        <v>9</v>
      </c>
      <c r="N77" s="23" t="s">
        <v>339</v>
      </c>
      <c r="O77" s="23" t="n">
        <v>8.96864</v>
      </c>
      <c r="P77" s="23" t="n">
        <v>8.007338</v>
      </c>
      <c r="Q77" s="23" t="n">
        <v>9.037484</v>
      </c>
      <c r="R77" s="23" t="s">
        <v>164</v>
      </c>
      <c r="S77" s="23" t="s">
        <v>429</v>
      </c>
      <c r="T77" s="23" t="s">
        <v>18</v>
      </c>
      <c r="U77" s="23" t="s">
        <v>341</v>
      </c>
      <c r="V77" s="23" t="s">
        <v>430</v>
      </c>
      <c r="W77" s="23" t="s">
        <v>492</v>
      </c>
      <c r="X77" s="23" t="n">
        <v>8.454125</v>
      </c>
      <c r="Y77" s="23" t="n">
        <f aca="false">IF(OR(Q77="",X77=""),"",Q77-X77)</f>
        <v>0.583359</v>
      </c>
      <c r="Z77" s="23" t="n">
        <f aca="false">IF(OR(Q77="",X77="",X77=0),"",Q77/X77-1)</f>
        <v>0.0690028832079015</v>
      </c>
      <c r="AA77" s="23" t="n">
        <v>8.70113069167425</v>
      </c>
      <c r="AB77" s="23" t="n">
        <v>7.20253993509699</v>
      </c>
      <c r="AC77" s="23" t="n">
        <v>8.2513824335952</v>
      </c>
      <c r="AD77" s="23" t="n">
        <v>6.85680852605532</v>
      </c>
      <c r="AE77" s="23" t="n">
        <f aca="false">IF(OR(AC77="",AD77=""),"",AC77-AD77)</f>
        <v>1.39457390753987</v>
      </c>
      <c r="AF77" s="23" t="n">
        <f aca="false">IF(OR(AC77="",AD77="",AD77=0),"",AC77/AD77-1)</f>
        <v>0.203385277894315</v>
      </c>
      <c r="AG77" s="23" t="n">
        <v>9.10865845895887</v>
      </c>
      <c r="AH77" s="23" t="n">
        <v>8.48117308846022</v>
      </c>
      <c r="AI77" s="23" t="n">
        <v>9.48951184651399</v>
      </c>
      <c r="AJ77" s="23" t="n">
        <v>9.56864955918712</v>
      </c>
      <c r="AK77" s="23" t="n">
        <f aca="false">IF(OR(AI77="",AJ77=""),"",AI77-AJ77)</f>
        <v>-0.0791377126731288</v>
      </c>
      <c r="AL77" s="23" t="n">
        <f aca="false">IF(OR(AI77="",AJ77="",AJ77=0),"",AI77/AJ77-1)</f>
        <v>-0.00827052053517274</v>
      </c>
      <c r="AM77" s="23" t="n">
        <v>0</v>
      </c>
      <c r="AN77" s="23"/>
      <c r="AO77" s="23" t="s">
        <v>493</v>
      </c>
      <c r="AP77" s="23" t="s">
        <v>345</v>
      </c>
    </row>
    <row r="78" customFormat="false" ht="15" hidden="false" customHeight="false" outlineLevel="0" collapsed="false">
      <c r="A78" s="23" t="n">
        <v>76</v>
      </c>
      <c r="B78" s="23" t="n">
        <v>30</v>
      </c>
      <c r="C78" s="23" t="n">
        <v>85</v>
      </c>
      <c r="D78" s="23" t="s">
        <v>157</v>
      </c>
      <c r="E78" s="23" t="s">
        <v>265</v>
      </c>
      <c r="F78" s="23" t="s">
        <v>266</v>
      </c>
      <c r="G78" s="23" t="s">
        <v>494</v>
      </c>
      <c r="H78" s="23" t="s">
        <v>174</v>
      </c>
      <c r="I78" s="23" t="s">
        <v>175</v>
      </c>
      <c r="J78" s="23" t="n">
        <v>46249.60723125</v>
      </c>
      <c r="K78" s="23" t="n">
        <v>1</v>
      </c>
      <c r="L78" s="23" t="n">
        <v>3</v>
      </c>
      <c r="M78" s="23" t="n">
        <f aca="false">IF(OR(K78="",L78=""),"",K78*L78*3)</f>
        <v>9</v>
      </c>
      <c r="N78" s="23" t="s">
        <v>268</v>
      </c>
      <c r="O78" s="23" t="n">
        <v>9.266015</v>
      </c>
      <c r="P78" s="23" t="n">
        <v>8.661906</v>
      </c>
      <c r="Q78" s="23" t="n">
        <v>9.034943</v>
      </c>
      <c r="R78" s="23" t="s">
        <v>164</v>
      </c>
      <c r="S78" s="23" t="s">
        <v>474</v>
      </c>
      <c r="T78" s="23" t="s">
        <v>18</v>
      </c>
      <c r="U78" s="23" t="s">
        <v>270</v>
      </c>
      <c r="V78" s="23" t="s">
        <v>475</v>
      </c>
      <c r="W78" s="23" t="s">
        <v>495</v>
      </c>
      <c r="X78" s="23" t="n">
        <v>9.030784</v>
      </c>
      <c r="Y78" s="23" t="n">
        <f aca="false">IF(OR(Q78="",X78=""),"",Q78-X78)</f>
        <v>0.00415899999999958</v>
      </c>
      <c r="Z78" s="23" t="n">
        <f aca="false">IF(OR(Q78="",X78="",X78=0),"",Q78/X78-1)</f>
        <v>0.000460535873740175</v>
      </c>
      <c r="AA78" s="23" t="n">
        <v>9.06456663153549</v>
      </c>
      <c r="AB78" s="23" t="n">
        <v>7.80977426330209</v>
      </c>
      <c r="AC78" s="23" t="n">
        <v>8.80799635988066</v>
      </c>
      <c r="AD78" s="23" t="n">
        <v>7.92485409035487</v>
      </c>
      <c r="AE78" s="23" t="n">
        <f aca="false">IF(OR(AC78="",AD78=""),"",AC78-AD78)</f>
        <v>0.883142269525791</v>
      </c>
      <c r="AF78" s="23" t="n">
        <f aca="false">IF(OR(AC78="",AD78="",AD78=0),"",AC78/AD78-1)</f>
        <v>0.11143956209877</v>
      </c>
      <c r="AG78" s="23" t="n">
        <v>9.37013412483753</v>
      </c>
      <c r="AH78" s="23" t="n">
        <v>9.16172775556026</v>
      </c>
      <c r="AI78" s="23" t="n">
        <v>9.1528594760321</v>
      </c>
      <c r="AJ78" s="23" t="n">
        <v>9.70818320266672</v>
      </c>
      <c r="AK78" s="23" t="n">
        <f aca="false">IF(OR(AI78="",AJ78=""),"",AI78-AJ78)</f>
        <v>-0.555323726634621</v>
      </c>
      <c r="AL78" s="23" t="n">
        <f aca="false">IF(OR(AI78="",AJ78="",AJ78=0),"",AI78/AJ78-1)</f>
        <v>-0.0572016117786158</v>
      </c>
      <c r="AM78" s="23" t="n">
        <v>0</v>
      </c>
      <c r="AN78" s="23"/>
      <c r="AO78" s="23" t="s">
        <v>496</v>
      </c>
      <c r="AP78" s="23" t="s">
        <v>274</v>
      </c>
    </row>
    <row r="79" customFormat="false" ht="15" hidden="false" customHeight="false" outlineLevel="0" collapsed="false">
      <c r="A79" s="23" t="n">
        <v>77</v>
      </c>
      <c r="B79" s="23" t="n">
        <v>84</v>
      </c>
      <c r="C79" s="23" t="n">
        <v>47</v>
      </c>
      <c r="D79" s="23" t="s">
        <v>157</v>
      </c>
      <c r="E79" s="23" t="s">
        <v>265</v>
      </c>
      <c r="F79" s="23" t="s">
        <v>266</v>
      </c>
      <c r="G79" s="23" t="s">
        <v>268</v>
      </c>
      <c r="H79" s="23" t="s">
        <v>174</v>
      </c>
      <c r="I79" s="23" t="s">
        <v>175</v>
      </c>
      <c r="J79" s="23" t="n">
        <v>46249.5961060301</v>
      </c>
      <c r="K79" s="23" t="n">
        <v>1</v>
      </c>
      <c r="L79" s="23" t="n">
        <v>3</v>
      </c>
      <c r="M79" s="23" t="n">
        <f aca="false">IF(OR(K79="",L79=""),"",K79*L79*3)</f>
        <v>9</v>
      </c>
      <c r="N79" s="23" t="s">
        <v>268</v>
      </c>
      <c r="O79" s="23" t="n">
        <v>8.842326</v>
      </c>
      <c r="P79" s="23" t="n">
        <v>8.57381</v>
      </c>
      <c r="Q79" s="23" t="n">
        <v>9.030784</v>
      </c>
      <c r="R79" s="23" t="s">
        <v>164</v>
      </c>
      <c r="S79" s="23" t="s">
        <v>132</v>
      </c>
      <c r="T79" s="23" t="s">
        <v>18</v>
      </c>
      <c r="U79" s="23" t="s">
        <v>270</v>
      </c>
      <c r="V79" s="23" t="s">
        <v>207</v>
      </c>
      <c r="W79" s="23" t="s">
        <v>207</v>
      </c>
      <c r="X79" s="23" t="n">
        <v>9.030784</v>
      </c>
      <c r="Y79" s="23" t="n">
        <f aca="false">IF(OR(Q79="",X79=""),"",Q79-X79)</f>
        <v>0</v>
      </c>
      <c r="Z79" s="23" t="n">
        <f aca="false">IF(OR(Q79="",X79="",X79=0),"",Q79/X79-1)</f>
        <v>0</v>
      </c>
      <c r="AA79" s="23" t="n">
        <v>8.36330980457065</v>
      </c>
      <c r="AB79" s="23" t="n">
        <v>7.76149055365646</v>
      </c>
      <c r="AC79" s="23" t="n">
        <v>7.92485409035487</v>
      </c>
      <c r="AD79" s="23" t="n">
        <v>7.92485409035487</v>
      </c>
      <c r="AE79" s="23" t="n">
        <f aca="false">IF(OR(AC79="",AD79=""),"",AC79-AD79)</f>
        <v>0</v>
      </c>
      <c r="AF79" s="23" t="n">
        <f aca="false">IF(OR(AC79="",AD79="",AD79=0),"",AC79/AD79-1)</f>
        <v>0</v>
      </c>
      <c r="AG79" s="23" t="n">
        <v>9.10301704470792</v>
      </c>
      <c r="AH79" s="23" t="n">
        <v>9.04725346372431</v>
      </c>
      <c r="AI79" s="23" t="n">
        <v>9.70818320266672</v>
      </c>
      <c r="AJ79" s="23" t="n">
        <v>9.70818320266672</v>
      </c>
      <c r="AK79" s="23" t="n">
        <f aca="false">IF(OR(AI79="",AJ79=""),"",AI79-AJ79)</f>
        <v>0</v>
      </c>
      <c r="AL79" s="23" t="n">
        <f aca="false">IF(OR(AI79="",AJ79="",AJ79=0),"",AI79/AJ79-1)</f>
        <v>0</v>
      </c>
      <c r="AM79" s="23" t="n">
        <v>0</v>
      </c>
      <c r="AN79" s="23"/>
      <c r="AO79" s="23" t="s">
        <v>497</v>
      </c>
      <c r="AP79" s="23" t="s">
        <v>274</v>
      </c>
    </row>
    <row r="80" customFormat="false" ht="15" hidden="false" customHeight="false" outlineLevel="0" collapsed="false">
      <c r="A80" s="23" t="n">
        <v>78</v>
      </c>
      <c r="B80" s="23" t="n">
        <v>76</v>
      </c>
      <c r="C80" s="23" t="n">
        <v>68</v>
      </c>
      <c r="D80" s="23" t="s">
        <v>157</v>
      </c>
      <c r="E80" s="23" t="s">
        <v>288</v>
      </c>
      <c r="F80" s="23" t="s">
        <v>289</v>
      </c>
      <c r="G80" s="23" t="s">
        <v>498</v>
      </c>
      <c r="H80" s="23" t="s">
        <v>174</v>
      </c>
      <c r="I80" s="23" t="s">
        <v>175</v>
      </c>
      <c r="J80" s="23" t="n">
        <v>46249.7862398148</v>
      </c>
      <c r="K80" s="23" t="n">
        <v>1</v>
      </c>
      <c r="L80" s="23" t="n">
        <v>3</v>
      </c>
      <c r="M80" s="23" t="n">
        <f aca="false">IF(OR(K80="",L80=""),"",K80*L80*3)</f>
        <v>9</v>
      </c>
      <c r="N80" s="23" t="s">
        <v>187</v>
      </c>
      <c r="O80" s="23" t="n">
        <v>8.774315</v>
      </c>
      <c r="P80" s="23" t="n">
        <v>8.456191</v>
      </c>
      <c r="Q80" s="23" t="n">
        <v>9.026364</v>
      </c>
      <c r="R80" s="23" t="s">
        <v>164</v>
      </c>
      <c r="S80" s="23" t="s">
        <v>193</v>
      </c>
      <c r="T80" s="23" t="s">
        <v>18</v>
      </c>
      <c r="U80" s="23" t="s">
        <v>178</v>
      </c>
      <c r="V80" s="23" t="s">
        <v>194</v>
      </c>
      <c r="W80" s="23" t="s">
        <v>195</v>
      </c>
      <c r="X80" s="23" t="n">
        <v>9.065573</v>
      </c>
      <c r="Y80" s="23" t="n">
        <f aca="false">IF(OR(Q80="",X80=""),"",Q80-X80)</f>
        <v>-0.0392090000000014</v>
      </c>
      <c r="Z80" s="23" t="n">
        <f aca="false">IF(OR(Q80="",X80="",X80=0),"",Q80/X80-1)</f>
        <v>-0.00432504376722809</v>
      </c>
      <c r="AA80" s="23" t="n">
        <v>8.17781659155006</v>
      </c>
      <c r="AB80" s="23" t="n">
        <v>7.64115186749306</v>
      </c>
      <c r="AC80" s="23" t="n">
        <v>8.18468914749835</v>
      </c>
      <c r="AD80" s="23" t="n">
        <v>8.18140532135893</v>
      </c>
      <c r="AE80" s="23" t="n">
        <f aca="false">IF(OR(AC80="",AD80=""),"",AC80-AD80)</f>
        <v>0.00328382613941614</v>
      </c>
      <c r="AF80" s="23" t="n">
        <f aca="false">IF(OR(AC80="",AD80="",AD80=0),"",AC80/AD80-1)</f>
        <v>0.000401376781913321</v>
      </c>
      <c r="AG80" s="23" t="n">
        <v>9.10643206771251</v>
      </c>
      <c r="AH80" s="23" t="n">
        <v>8.93258637208665</v>
      </c>
      <c r="AI80" s="23" t="n">
        <v>9.51563521135859</v>
      </c>
      <c r="AJ80" s="23" t="n">
        <v>9.5834141990268</v>
      </c>
      <c r="AK80" s="23" t="n">
        <f aca="false">IF(OR(AI80="",AJ80=""),"",AI80-AJ80)</f>
        <v>-0.0677789876682127</v>
      </c>
      <c r="AL80" s="23" t="n">
        <f aca="false">IF(OR(AI80="",AJ80="",AJ80=0),"",AI80/AJ80-1)</f>
        <v>-0.00707253033841482</v>
      </c>
      <c r="AM80" s="23" t="n">
        <v>0</v>
      </c>
      <c r="AN80" s="23" t="s">
        <v>181</v>
      </c>
      <c r="AO80" s="23" t="s">
        <v>499</v>
      </c>
      <c r="AP80" s="23" t="s">
        <v>183</v>
      </c>
    </row>
    <row r="81" customFormat="false" ht="15" hidden="false" customHeight="false" outlineLevel="0" collapsed="false">
      <c r="A81" s="23" t="n">
        <v>79</v>
      </c>
      <c r="B81" s="23" t="n">
        <v>75</v>
      </c>
      <c r="C81" s="23" t="n">
        <v>69</v>
      </c>
      <c r="D81" s="23" t="s">
        <v>157</v>
      </c>
      <c r="E81" s="23" t="s">
        <v>336</v>
      </c>
      <c r="F81" s="23" t="s">
        <v>337</v>
      </c>
      <c r="G81" s="23" t="s">
        <v>500</v>
      </c>
      <c r="H81" s="23" t="s">
        <v>174</v>
      </c>
      <c r="I81" s="23" t="s">
        <v>175</v>
      </c>
      <c r="J81" s="23" t="n">
        <v>46249.6904687037</v>
      </c>
      <c r="K81" s="23" t="n">
        <v>1</v>
      </c>
      <c r="L81" s="23" t="n">
        <v>3</v>
      </c>
      <c r="M81" s="23" t="n">
        <f aca="false">IF(OR(K81="",L81=""),"",K81*L81*3)</f>
        <v>9</v>
      </c>
      <c r="N81" s="23" t="s">
        <v>339</v>
      </c>
      <c r="O81" s="23" t="n">
        <v>8.823826</v>
      </c>
      <c r="P81" s="23" t="n">
        <v>8.10153</v>
      </c>
      <c r="Q81" s="23" t="n">
        <v>9.022398</v>
      </c>
      <c r="R81" s="23" t="s">
        <v>164</v>
      </c>
      <c r="S81" s="23" t="s">
        <v>501</v>
      </c>
      <c r="T81" s="23" t="s">
        <v>18</v>
      </c>
      <c r="U81" s="23" t="s">
        <v>341</v>
      </c>
      <c r="V81" s="23" t="s">
        <v>502</v>
      </c>
      <c r="W81" s="23" t="s">
        <v>503</v>
      </c>
      <c r="X81" s="23" t="n">
        <v>8.454125</v>
      </c>
      <c r="Y81" s="23" t="n">
        <f aca="false">IF(OR(Q81="",X81=""),"",Q81-X81)</f>
        <v>0.568273000000001</v>
      </c>
      <c r="Z81" s="23" t="n">
        <f aca="false">IF(OR(Q81="",X81="",X81=0),"",Q81/X81-1)</f>
        <v>0.0672184288734792</v>
      </c>
      <c r="AA81" s="23" t="n">
        <v>8.21617464525631</v>
      </c>
      <c r="AB81" s="23" t="n">
        <v>7.34286153834975</v>
      </c>
      <c r="AC81" s="23" t="n">
        <v>8.18475251130414</v>
      </c>
      <c r="AD81" s="23" t="n">
        <v>6.85680852605532</v>
      </c>
      <c r="AE81" s="23" t="n">
        <f aca="false">IF(OR(AC81="",AD81=""),"",AC81-AD81)</f>
        <v>1.32794398524882</v>
      </c>
      <c r="AF81" s="23" t="n">
        <f aca="false">IF(OR(AC81="",AD81="",AD81=0),"",AC81/AD81-1)</f>
        <v>0.19366794044237</v>
      </c>
      <c r="AG81" s="23" t="n">
        <v>9.16265126319749</v>
      </c>
      <c r="AH81" s="23" t="n">
        <v>8.54285704255275</v>
      </c>
      <c r="AI81" s="23" t="n">
        <v>9.50898250566364</v>
      </c>
      <c r="AJ81" s="23" t="n">
        <v>9.56864955918712</v>
      </c>
      <c r="AK81" s="23" t="n">
        <f aca="false">IF(OR(AI81="",AJ81=""),"",AI81-AJ81)</f>
        <v>-0.0596670535234711</v>
      </c>
      <c r="AL81" s="23" t="n">
        <f aca="false">IF(OR(AI81="",AJ81="",AJ81=0),"",AI81/AJ81-1)</f>
        <v>-0.00623568175993894</v>
      </c>
      <c r="AM81" s="23" t="n">
        <v>0</v>
      </c>
      <c r="AN81" s="23"/>
      <c r="AO81" s="23" t="s">
        <v>504</v>
      </c>
      <c r="AP81" s="23" t="s">
        <v>345</v>
      </c>
    </row>
    <row r="82" customFormat="false" ht="15" hidden="false" customHeight="false" outlineLevel="0" collapsed="false">
      <c r="A82" s="23" t="n">
        <v>80</v>
      </c>
      <c r="B82" s="23" t="n">
        <v>80</v>
      </c>
      <c r="C82" s="23" t="n">
        <v>74</v>
      </c>
      <c r="D82" s="23" t="s">
        <v>157</v>
      </c>
      <c r="E82" s="23" t="s">
        <v>288</v>
      </c>
      <c r="F82" s="23" t="s">
        <v>289</v>
      </c>
      <c r="G82" s="23" t="s">
        <v>505</v>
      </c>
      <c r="H82" s="23" t="s">
        <v>174</v>
      </c>
      <c r="I82" s="23" t="s">
        <v>175</v>
      </c>
      <c r="J82" s="23" t="n">
        <v>46249.769084838</v>
      </c>
      <c r="K82" s="23" t="n">
        <v>1</v>
      </c>
      <c r="L82" s="23" t="n">
        <v>3</v>
      </c>
      <c r="M82" s="23" t="n">
        <f aca="false">IF(OR(K82="",L82=""),"",K82*L82*3)</f>
        <v>9</v>
      </c>
      <c r="N82" s="23" t="s">
        <v>187</v>
      </c>
      <c r="O82" s="23" t="n">
        <v>8.863321</v>
      </c>
      <c r="P82" s="23" t="n">
        <v>8.374225</v>
      </c>
      <c r="Q82" s="23" t="n">
        <v>8.98066</v>
      </c>
      <c r="R82" s="23" t="s">
        <v>164</v>
      </c>
      <c r="S82" s="23" t="s">
        <v>203</v>
      </c>
      <c r="T82" s="23" t="s">
        <v>18</v>
      </c>
      <c r="U82" s="23" t="s">
        <v>178</v>
      </c>
      <c r="V82" s="23" t="s">
        <v>366</v>
      </c>
      <c r="W82" s="23" t="s">
        <v>506</v>
      </c>
      <c r="X82" s="23" t="n">
        <v>9.065573</v>
      </c>
      <c r="Y82" s="23" t="n">
        <f aca="false">IF(OR(Q82="",X82=""),"",Q82-X82)</f>
        <v>-0.0849130000000002</v>
      </c>
      <c r="Z82" s="23" t="n">
        <f aca="false">IF(OR(Q82="",X82="",X82=0),"",Q82/X82-1)</f>
        <v>-0.00936653424995859</v>
      </c>
      <c r="AA82" s="23" t="n">
        <v>8.22312956314172</v>
      </c>
      <c r="AB82" s="23" t="n">
        <v>7.60392339055241</v>
      </c>
      <c r="AC82" s="23" t="n">
        <v>8.11681076548652</v>
      </c>
      <c r="AD82" s="23" t="n">
        <v>8.18140532135893</v>
      </c>
      <c r="AE82" s="23" t="n">
        <f aca="false">IF(OR(AC82="",AD82=""),"",AC82-AD82)</f>
        <v>-0.064594555872409</v>
      </c>
      <c r="AF82" s="23" t="n">
        <f aca="false">IF(OR(AC82="",AD82="",AD82=0),"",AC82/AD82-1)</f>
        <v>-0.007895288564151</v>
      </c>
      <c r="AG82" s="23" t="n">
        <v>9.22231136421664</v>
      </c>
      <c r="AH82" s="23" t="n">
        <v>8.82102391738981</v>
      </c>
      <c r="AI82" s="23" t="n">
        <v>9.48541202862099</v>
      </c>
      <c r="AJ82" s="23" t="n">
        <v>9.5834141990268</v>
      </c>
      <c r="AK82" s="23" t="n">
        <f aca="false">IF(OR(AI82="",AJ82=""),"",AI82-AJ82)</f>
        <v>-0.0980021704058149</v>
      </c>
      <c r="AL82" s="23" t="n">
        <f aca="false">IF(OR(AI82="",AJ82="",AJ82=0),"",AI82/AJ82-1)</f>
        <v>-0.0102262271431164</v>
      </c>
      <c r="AM82" s="23" t="n">
        <v>0</v>
      </c>
      <c r="AN82" s="23"/>
      <c r="AO82" s="23" t="s">
        <v>507</v>
      </c>
      <c r="AP82" s="23" t="s">
        <v>183</v>
      </c>
    </row>
    <row r="83" customFormat="false" ht="15" hidden="false" customHeight="false" outlineLevel="0" collapsed="false">
      <c r="A83" s="23" t="n">
        <v>81</v>
      </c>
      <c r="B83" s="23" t="n">
        <v>74</v>
      </c>
      <c r="C83" s="23" t="n">
        <v>78</v>
      </c>
      <c r="D83" s="23" t="s">
        <v>157</v>
      </c>
      <c r="E83" s="23" t="s">
        <v>288</v>
      </c>
      <c r="F83" s="23" t="s">
        <v>289</v>
      </c>
      <c r="G83" s="23" t="s">
        <v>508</v>
      </c>
      <c r="H83" s="23" t="s">
        <v>174</v>
      </c>
      <c r="I83" s="23" t="s">
        <v>175</v>
      </c>
      <c r="J83" s="23" t="n">
        <v>46249.7833839583</v>
      </c>
      <c r="K83" s="23" t="n">
        <v>1</v>
      </c>
      <c r="L83" s="23" t="n">
        <v>3</v>
      </c>
      <c r="M83" s="23" t="n">
        <f aca="false">IF(OR(K83="",L83=""),"",K83*L83*3)</f>
        <v>9</v>
      </c>
      <c r="N83" s="23" t="s">
        <v>187</v>
      </c>
      <c r="O83" s="23" t="n">
        <v>8.935795</v>
      </c>
      <c r="P83" s="23" t="n">
        <v>8.087393</v>
      </c>
      <c r="Q83" s="23" t="n">
        <v>8.979161</v>
      </c>
      <c r="R83" s="23" t="s">
        <v>164</v>
      </c>
      <c r="S83" s="23" t="s">
        <v>177</v>
      </c>
      <c r="T83" s="23" t="s">
        <v>18</v>
      </c>
      <c r="U83" s="23" t="s">
        <v>178</v>
      </c>
      <c r="V83" s="23" t="s">
        <v>179</v>
      </c>
      <c r="W83" s="23" t="s">
        <v>180</v>
      </c>
      <c r="X83" s="23" t="n">
        <v>9.065573</v>
      </c>
      <c r="Y83" s="23" t="n">
        <f aca="false">IF(OR(Q83="",X83=""),"",Q83-X83)</f>
        <v>-0.086412000000001</v>
      </c>
      <c r="Z83" s="23" t="n">
        <f aca="false">IF(OR(Q83="",X83="",X83=0),"",Q83/X83-1)</f>
        <v>-0.00953188507775526</v>
      </c>
      <c r="AA83" s="23" t="n">
        <v>8.28942230971699</v>
      </c>
      <c r="AB83" s="23" t="n">
        <v>7.45082862757663</v>
      </c>
      <c r="AC83" s="23" t="n">
        <v>8.24787263228923</v>
      </c>
      <c r="AD83" s="23" t="n">
        <v>8.18140532135893</v>
      </c>
      <c r="AE83" s="23" t="n">
        <f aca="false">IF(OR(AC83="",AD83=""),"",AC83-AD83)</f>
        <v>0.0664673109302978</v>
      </c>
      <c r="AF83" s="23" t="n">
        <f aca="false">IF(OR(AC83="",AD83="",AD83=0),"",AC83/AD83-1)</f>
        <v>0.00812419239965712</v>
      </c>
      <c r="AG83" s="23" t="n">
        <v>9.29831573448154</v>
      </c>
      <c r="AH83" s="23" t="n">
        <v>8.44828380155258</v>
      </c>
      <c r="AI83" s="23" t="n">
        <v>9.3956895491231</v>
      </c>
      <c r="AJ83" s="23" t="n">
        <v>9.5834141990268</v>
      </c>
      <c r="AK83" s="23" t="n">
        <f aca="false">IF(OR(AI83="",AJ83=""),"",AI83-AJ83)</f>
        <v>-0.187724649903698</v>
      </c>
      <c r="AL83" s="23" t="n">
        <f aca="false">IF(OR(AI83="",AJ83="",AJ83=0),"",AI83/AJ83-1)</f>
        <v>-0.0195884938295542</v>
      </c>
      <c r="AM83" s="23" t="n">
        <v>0</v>
      </c>
      <c r="AN83" s="23"/>
      <c r="AO83" s="23" t="s">
        <v>509</v>
      </c>
      <c r="AP83" s="23" t="s">
        <v>183</v>
      </c>
    </row>
    <row r="84" customFormat="false" ht="15" hidden="false" customHeight="false" outlineLevel="0" collapsed="false">
      <c r="A84" s="23" t="n">
        <v>82</v>
      </c>
      <c r="B84" s="23" t="n">
        <v>70</v>
      </c>
      <c r="C84" s="23" t="n">
        <v>80</v>
      </c>
      <c r="D84" s="23" t="s">
        <v>157</v>
      </c>
      <c r="E84" s="23" t="s">
        <v>171</v>
      </c>
      <c r="F84" s="23" t="s">
        <v>172</v>
      </c>
      <c r="G84" s="23" t="s">
        <v>510</v>
      </c>
      <c r="H84" s="23" t="s">
        <v>174</v>
      </c>
      <c r="I84" s="23" t="s">
        <v>175</v>
      </c>
      <c r="J84" s="23" t="n">
        <v>46249.8486150347</v>
      </c>
      <c r="K84" s="23" t="n">
        <v>1</v>
      </c>
      <c r="L84" s="23" t="n">
        <v>3</v>
      </c>
      <c r="M84" s="23" t="n">
        <f aca="false">IF(OR(K84="",L84=""),"",K84*L84*3)</f>
        <v>9</v>
      </c>
      <c r="N84" s="23" t="s">
        <v>176</v>
      </c>
      <c r="O84" s="23" t="n">
        <v>8.67358</v>
      </c>
      <c r="P84" s="23" t="n">
        <v>7.458461</v>
      </c>
      <c r="Q84" s="23" t="n">
        <v>8.958886</v>
      </c>
      <c r="R84" s="23" t="s">
        <v>164</v>
      </c>
      <c r="S84" s="23" t="s">
        <v>511</v>
      </c>
      <c r="T84" s="23" t="s">
        <v>18</v>
      </c>
      <c r="U84" s="23" t="s">
        <v>178</v>
      </c>
      <c r="V84" s="23" t="s">
        <v>512</v>
      </c>
      <c r="W84" s="23" t="s">
        <v>513</v>
      </c>
      <c r="X84" s="23" t="n">
        <v>9.874782</v>
      </c>
      <c r="Y84" s="23" t="n">
        <f aca="false">IF(OR(Q84="",X84=""),"",Q84-X84)</f>
        <v>-0.915896</v>
      </c>
      <c r="Z84" s="23" t="n">
        <f aca="false">IF(OR(Q84="",X84="",X84=0),"",Q84/X84-1)</f>
        <v>-0.092751009591908</v>
      </c>
      <c r="AA84" s="23" t="n">
        <v>8.146367</v>
      </c>
      <c r="AB84" s="23" t="n">
        <v>6.279615</v>
      </c>
      <c r="AC84" s="23" t="n">
        <v>8.292703</v>
      </c>
      <c r="AD84" s="23" t="n">
        <v>8.895737</v>
      </c>
      <c r="AE84" s="23" t="n">
        <f aca="false">IF(OR(AC84="",AD84=""),"",AC84-AD84)</f>
        <v>-0.603034000000001</v>
      </c>
      <c r="AF84" s="23" t="n">
        <f aca="false">IF(OR(AC84="",AD84="",AD84=0),"",AC84/AD84-1)</f>
        <v>-0.0677890994304352</v>
      </c>
      <c r="AG84" s="23" t="n">
        <v>8.963633</v>
      </c>
      <c r="AH84" s="23" t="n">
        <v>8.231052</v>
      </c>
      <c r="AI84" s="23" t="n">
        <v>9.333794</v>
      </c>
      <c r="AJ84" s="23" t="n">
        <v>10.449825</v>
      </c>
      <c r="AK84" s="23" t="n">
        <f aca="false">IF(OR(AI84="",AJ84=""),"",AI84-AJ84)</f>
        <v>-1.116031</v>
      </c>
      <c r="AL84" s="23" t="n">
        <f aca="false">IF(OR(AI84="",AJ84="",AJ84=0),"",AI84/AJ84-1)</f>
        <v>-0.106799013380607</v>
      </c>
      <c r="AM84" s="23" t="n">
        <v>0</v>
      </c>
      <c r="AN84" s="23"/>
      <c r="AO84" s="23" t="s">
        <v>514</v>
      </c>
      <c r="AP84" s="23" t="s">
        <v>183</v>
      </c>
    </row>
    <row r="85" customFormat="false" ht="15" hidden="false" customHeight="false" outlineLevel="0" collapsed="false">
      <c r="A85" s="23" t="n">
        <v>83</v>
      </c>
      <c r="B85" s="23" t="n">
        <v>21</v>
      </c>
      <c r="C85" s="23" t="n">
        <v>89</v>
      </c>
      <c r="D85" s="23" t="s">
        <v>157</v>
      </c>
      <c r="E85" s="23" t="s">
        <v>219</v>
      </c>
      <c r="F85" s="23" t="s">
        <v>220</v>
      </c>
      <c r="G85" s="23" t="s">
        <v>515</v>
      </c>
      <c r="H85" s="23" t="s">
        <v>174</v>
      </c>
      <c r="I85" s="23" t="s">
        <v>162</v>
      </c>
      <c r="J85" s="23" t="n">
        <v>46250.3386137037</v>
      </c>
      <c r="K85" s="23" t="n">
        <v>1</v>
      </c>
      <c r="L85" s="23" t="n">
        <v>3</v>
      </c>
      <c r="M85" s="23" t="n">
        <f aca="false">IF(OR(K85="",L85=""),"",K85*L85*3)</f>
        <v>9</v>
      </c>
      <c r="N85" s="23" t="s">
        <v>222</v>
      </c>
      <c r="O85" s="23" t="n">
        <v>8.762611</v>
      </c>
      <c r="P85" s="23" t="n">
        <v>8.655177</v>
      </c>
      <c r="Q85" s="23" t="n">
        <v>8.854667</v>
      </c>
      <c r="R85" s="23" t="s">
        <v>164</v>
      </c>
      <c r="S85" s="23" t="s">
        <v>516</v>
      </c>
      <c r="T85" s="23" t="s">
        <v>18</v>
      </c>
      <c r="U85" s="23" t="s">
        <v>224</v>
      </c>
      <c r="V85" s="23" t="s">
        <v>517</v>
      </c>
      <c r="W85" s="23" t="s">
        <v>518</v>
      </c>
      <c r="X85" s="23" t="n">
        <v>9.758152</v>
      </c>
      <c r="Y85" s="23" t="n">
        <f aca="false">IF(OR(Q85="",X85=""),"",Q85-X85)</f>
        <v>-0.903485000000002</v>
      </c>
      <c r="Z85" s="23" t="n">
        <f aca="false">IF(OR(Q85="",X85="",X85=0),"",Q85/X85-1)</f>
        <v>-0.0925877153788957</v>
      </c>
      <c r="AA85" s="23" t="n">
        <v>8.13683</v>
      </c>
      <c r="AB85" s="23" t="n">
        <v>7.895065</v>
      </c>
      <c r="AC85" s="23" t="n">
        <v>8.907312</v>
      </c>
      <c r="AD85" s="23" t="n">
        <v>8.74138</v>
      </c>
      <c r="AE85" s="23" t="n">
        <f aca="false">IF(OR(AC85="",AD85=""),"",AC85-AD85)</f>
        <v>0.165932</v>
      </c>
      <c r="AF85" s="23" t="n">
        <f aca="false">IF(OR(AC85="",AD85="",AD85=0),"",AC85/AD85-1)</f>
        <v>0.0189823574767372</v>
      </c>
      <c r="AG85" s="23" t="n">
        <v>9.11304</v>
      </c>
      <c r="AH85" s="23" t="n">
        <v>9.092894</v>
      </c>
      <c r="AI85" s="23" t="n">
        <v>8.828577</v>
      </c>
      <c r="AJ85" s="23" t="n">
        <v>10.360716</v>
      </c>
      <c r="AK85" s="23" t="n">
        <f aca="false">IF(OR(AI85="",AJ85=""),"",AI85-AJ85)</f>
        <v>-1.532139</v>
      </c>
      <c r="AL85" s="23" t="n">
        <f aca="false">IF(OR(AI85="",AJ85="",AJ85=0),"",AI85/AJ85-1)</f>
        <v>-0.147879644611434</v>
      </c>
      <c r="AM85" s="23" t="n">
        <v>0</v>
      </c>
      <c r="AN85" s="23"/>
      <c r="AO85" s="23" t="s">
        <v>519</v>
      </c>
      <c r="AP85" s="23" t="s">
        <v>71</v>
      </c>
    </row>
    <row r="86" customFormat="false" ht="15" hidden="false" customHeight="false" outlineLevel="0" collapsed="false">
      <c r="A86" s="23" t="n">
        <v>84</v>
      </c>
      <c r="B86" s="23" t="n">
        <v>13</v>
      </c>
      <c r="C86" s="23" t="n">
        <v>90</v>
      </c>
      <c r="D86" s="23" t="s">
        <v>157</v>
      </c>
      <c r="E86" s="23" t="s">
        <v>158</v>
      </c>
      <c r="F86" s="23" t="s">
        <v>159</v>
      </c>
      <c r="G86" s="23" t="s">
        <v>520</v>
      </c>
      <c r="H86" s="23" t="s">
        <v>161</v>
      </c>
      <c r="I86" s="23" t="s">
        <v>162</v>
      </c>
      <c r="J86" s="23" t="n">
        <v>46250.5703783102</v>
      </c>
      <c r="K86" s="23" t="n">
        <v>1</v>
      </c>
      <c r="L86" s="23" t="n">
        <v>3</v>
      </c>
      <c r="M86" s="23" t="n">
        <f aca="false">IF(OR(K86="",L86=""),"",K86*L86*3)</f>
        <v>9</v>
      </c>
      <c r="N86" s="23" t="s">
        <v>163</v>
      </c>
      <c r="O86" s="23" t="n">
        <v>8.936981</v>
      </c>
      <c r="P86" s="23" t="n">
        <v>8.607609</v>
      </c>
      <c r="Q86" s="23" t="n">
        <v>8.852391</v>
      </c>
      <c r="R86" s="23" t="s">
        <v>164</v>
      </c>
      <c r="S86" s="23" t="s">
        <v>521</v>
      </c>
      <c r="T86" s="23" t="s">
        <v>18</v>
      </c>
      <c r="U86" s="23" t="s">
        <v>166</v>
      </c>
      <c r="V86" s="23" t="s">
        <v>522</v>
      </c>
      <c r="W86" s="23" t="s">
        <v>523</v>
      </c>
      <c r="X86" s="23" t="n">
        <v>9.596545</v>
      </c>
      <c r="Y86" s="23" t="n">
        <f aca="false">IF(OR(Q86="",X86=""),"",Q86-X86)</f>
        <v>-0.744154</v>
      </c>
      <c r="Z86" s="23" t="n">
        <f aca="false">IF(OR(Q86="",X86="",X86=0),"",Q86/X86-1)</f>
        <v>-0.0775439494109599</v>
      </c>
      <c r="AA86" s="23" t="n">
        <v>8.37214781777916</v>
      </c>
      <c r="AB86" s="23" t="n">
        <v>8.15966330636064</v>
      </c>
      <c r="AC86" s="23" t="n">
        <v>9.30679640157941</v>
      </c>
      <c r="AD86" s="23" t="n">
        <v>8.46428544862225</v>
      </c>
      <c r="AE86" s="23" t="n">
        <f aca="false">IF(OR(AC86="",AD86=""),"",AC86-AD86)</f>
        <v>0.842510952957159</v>
      </c>
      <c r="AF86" s="23" t="n">
        <f aca="false">IF(OR(AC86="",AD86="",AD86=0),"",AC86/AD86-1)</f>
        <v>0.0995371621232715</v>
      </c>
      <c r="AG86" s="23" t="n">
        <v>9.24897492475057</v>
      </c>
      <c r="AH86" s="23" t="n">
        <v>8.85054611337711</v>
      </c>
      <c r="AI86" s="23" t="n">
        <v>8.64143212657933</v>
      </c>
      <c r="AJ86" s="23" t="n">
        <v>10.2844123721585</v>
      </c>
      <c r="AK86" s="23" t="n">
        <f aca="false">IF(OR(AI86="",AJ86=""),"",AI86-AJ86)</f>
        <v>-1.64298024557915</v>
      </c>
      <c r="AL86" s="23" t="n">
        <f aca="false">IF(OR(AI86="",AJ86="",AJ86=0),"",AI86/AJ86-1)</f>
        <v>-0.159754411445709</v>
      </c>
      <c r="AM86" s="23" t="n">
        <v>0</v>
      </c>
      <c r="AN86" s="23" t="s">
        <v>169</v>
      </c>
      <c r="AO86" s="23" t="s">
        <v>524</v>
      </c>
      <c r="AP86" s="23" t="s">
        <v>80</v>
      </c>
    </row>
    <row r="87" customFormat="false" ht="15" hidden="false" customHeight="false" outlineLevel="0" collapsed="false">
      <c r="A87" s="23" t="n">
        <v>85</v>
      </c>
      <c r="B87" s="23" t="n">
        <v>82</v>
      </c>
      <c r="C87" s="23" t="n">
        <v>82</v>
      </c>
      <c r="D87" s="23" t="s">
        <v>157</v>
      </c>
      <c r="E87" s="23" t="s">
        <v>275</v>
      </c>
      <c r="F87" s="23" t="s">
        <v>276</v>
      </c>
      <c r="G87" s="23" t="s">
        <v>525</v>
      </c>
      <c r="H87" s="23" t="s">
        <v>174</v>
      </c>
      <c r="I87" s="23" t="s">
        <v>175</v>
      </c>
      <c r="J87" s="23" t="n">
        <v>46249.6573801042</v>
      </c>
      <c r="K87" s="23" t="n">
        <v>1</v>
      </c>
      <c r="L87" s="23" t="n">
        <v>3</v>
      </c>
      <c r="M87" s="23" t="n">
        <f aca="false">IF(OR(K87="",L87=""),"",K87*L87*3)</f>
        <v>9</v>
      </c>
      <c r="N87" s="23" t="s">
        <v>278</v>
      </c>
      <c r="O87" s="23" t="n">
        <v>8.698421</v>
      </c>
      <c r="P87" s="23" t="n">
        <v>8.486824</v>
      </c>
      <c r="Q87" s="23" t="n">
        <v>8.842644</v>
      </c>
      <c r="R87" s="23" t="s">
        <v>164</v>
      </c>
      <c r="S87" s="23" t="s">
        <v>526</v>
      </c>
      <c r="T87" s="23" t="s">
        <v>18</v>
      </c>
      <c r="U87" s="23" t="s">
        <v>280</v>
      </c>
      <c r="V87" s="23" t="s">
        <v>527</v>
      </c>
      <c r="W87" s="23" t="s">
        <v>528</v>
      </c>
      <c r="X87" s="23" t="n">
        <v>9.190881</v>
      </c>
      <c r="Y87" s="23" t="n">
        <f aca="false">IF(OR(Q87="",X87=""),"",Q87-X87)</f>
        <v>-0.348236999999999</v>
      </c>
      <c r="Z87" s="23" t="n">
        <f aca="false">IF(OR(Q87="",X87="",X87=0),"",Q87/X87-1)</f>
        <v>-0.0378894036382366</v>
      </c>
      <c r="AA87" s="23" t="n">
        <v>8.01186080801491</v>
      </c>
      <c r="AB87" s="23" t="n">
        <v>7.94603370984777</v>
      </c>
      <c r="AC87" s="23" t="n">
        <v>8.08326160866129</v>
      </c>
      <c r="AD87" s="23" t="n">
        <v>8.30350417746048</v>
      </c>
      <c r="AE87" s="23" t="n">
        <f aca="false">IF(OR(AC87="",AD87=""),"",AC87-AD87)</f>
        <v>-0.220242568799184</v>
      </c>
      <c r="AF87" s="23" t="n">
        <f aca="false">IF(OR(AC87="",AD87="",AD87=0),"",AC87/AD87-1)</f>
        <v>-0.0265240510623243</v>
      </c>
      <c r="AG87" s="23" t="n">
        <v>9.08780126445974</v>
      </c>
      <c r="AH87" s="23" t="n">
        <v>8.78579522676589</v>
      </c>
      <c r="AI87" s="23" t="n">
        <v>9.27847703495313</v>
      </c>
      <c r="AJ87" s="23" t="n">
        <v>9.70970855124238</v>
      </c>
      <c r="AK87" s="23" t="n">
        <f aca="false">IF(OR(AI87="",AJ87=""),"",AI87-AJ87)</f>
        <v>-0.431231516289246</v>
      </c>
      <c r="AL87" s="23" t="n">
        <f aca="false">IF(OR(AI87="",AJ87="",AJ87=0),"",AI87/AJ87-1)</f>
        <v>-0.0444124057909101</v>
      </c>
      <c r="AM87" s="23" t="n">
        <v>0</v>
      </c>
      <c r="AN87" s="23"/>
      <c r="AO87" s="23" t="s">
        <v>529</v>
      </c>
      <c r="AP87" s="23" t="s">
        <v>284</v>
      </c>
    </row>
    <row r="88" customFormat="false" ht="15" hidden="false" customHeight="false" outlineLevel="0" collapsed="false">
      <c r="A88" s="23" t="n">
        <v>86</v>
      </c>
      <c r="B88" s="23" t="n">
        <v>85</v>
      </c>
      <c r="C88" s="23" t="n">
        <v>86</v>
      </c>
      <c r="D88" s="23" t="s">
        <v>157</v>
      </c>
      <c r="E88" s="23" t="s">
        <v>275</v>
      </c>
      <c r="F88" s="23" t="s">
        <v>276</v>
      </c>
      <c r="G88" s="23" t="s">
        <v>530</v>
      </c>
      <c r="H88" s="23" t="s">
        <v>174</v>
      </c>
      <c r="I88" s="23" t="s">
        <v>175</v>
      </c>
      <c r="J88" s="23" t="n">
        <v>46249.6516558565</v>
      </c>
      <c r="K88" s="23" t="n">
        <v>1</v>
      </c>
      <c r="L88" s="23" t="n">
        <v>3</v>
      </c>
      <c r="M88" s="23" t="n">
        <f aca="false">IF(OR(K88="",L88=""),"",K88*L88*3)</f>
        <v>9</v>
      </c>
      <c r="N88" s="23" t="s">
        <v>278</v>
      </c>
      <c r="O88" s="23" t="n">
        <v>8.817311</v>
      </c>
      <c r="P88" s="23" t="n">
        <v>8.44344</v>
      </c>
      <c r="Q88" s="23" t="n">
        <v>8.649921</v>
      </c>
      <c r="R88" s="23" t="s">
        <v>164</v>
      </c>
      <c r="S88" s="23" t="s">
        <v>531</v>
      </c>
      <c r="T88" s="23" t="s">
        <v>18</v>
      </c>
      <c r="U88" s="23" t="s">
        <v>280</v>
      </c>
      <c r="V88" s="23" t="s">
        <v>532</v>
      </c>
      <c r="W88" s="23" t="s">
        <v>533</v>
      </c>
      <c r="X88" s="23" t="n">
        <v>9.190881</v>
      </c>
      <c r="Y88" s="23" t="n">
        <f aca="false">IF(OR(Q88="",X88=""),"",Q88-X88)</f>
        <v>-0.540959999999998</v>
      </c>
      <c r="Z88" s="23" t="n">
        <f aca="false">IF(OR(Q88="",X88="",X88=0),"",Q88/X88-1)</f>
        <v>-0.0588583401308317</v>
      </c>
      <c r="AA88" s="23" t="n">
        <v>8.50028947664314</v>
      </c>
      <c r="AB88" s="23" t="n">
        <v>7.95405925587774</v>
      </c>
      <c r="AC88" s="23" t="n">
        <v>7.87118969562707</v>
      </c>
      <c r="AD88" s="23" t="n">
        <v>8.30350417746048</v>
      </c>
      <c r="AE88" s="23" t="n">
        <f aca="false">IF(OR(AC88="",AD88=""),"",AC88-AD88)</f>
        <v>-0.432314481833409</v>
      </c>
      <c r="AF88" s="23" t="n">
        <f aca="false">IF(OR(AC88="",AD88="",AD88=0),"",AC88/AD88-1)</f>
        <v>-0.0520641012028281</v>
      </c>
      <c r="AG88" s="23" t="n">
        <v>8.98485842869685</v>
      </c>
      <c r="AH88" s="23" t="n">
        <v>8.71142852999356</v>
      </c>
      <c r="AI88" s="23" t="n">
        <v>9.10007634031658</v>
      </c>
      <c r="AJ88" s="23" t="n">
        <v>9.70970855124238</v>
      </c>
      <c r="AK88" s="23" t="n">
        <f aca="false">IF(OR(AI88="",AJ88=""),"",AI88-AJ88)</f>
        <v>-0.609632210925803</v>
      </c>
      <c r="AL88" s="23" t="n">
        <f aca="false">IF(OR(AI88="",AJ88="",AJ88=0),"",AI88/AJ88-1)</f>
        <v>-0.0627858403481945</v>
      </c>
      <c r="AM88" s="23" t="n">
        <v>0</v>
      </c>
      <c r="AN88" s="23"/>
      <c r="AO88" s="23" t="s">
        <v>534</v>
      </c>
      <c r="AP88" s="23" t="s">
        <v>284</v>
      </c>
    </row>
    <row r="89" customFormat="false" ht="15" hidden="false" customHeight="false" outlineLevel="0" collapsed="false">
      <c r="A89" s="23" t="n">
        <v>87</v>
      </c>
      <c r="B89" s="23" t="n">
        <v>103</v>
      </c>
      <c r="C89" s="23" t="n">
        <v>50</v>
      </c>
      <c r="D89" s="23" t="s">
        <v>157</v>
      </c>
      <c r="E89" s="23" t="s">
        <v>184</v>
      </c>
      <c r="F89" s="23" t="s">
        <v>185</v>
      </c>
      <c r="G89" s="23" t="s">
        <v>535</v>
      </c>
      <c r="H89" s="23" t="s">
        <v>174</v>
      </c>
      <c r="I89" s="23" t="s">
        <v>175</v>
      </c>
      <c r="J89" s="23" t="n">
        <v>46249.8099644444</v>
      </c>
      <c r="K89" s="23" t="n">
        <v>1</v>
      </c>
      <c r="L89" s="23" t="n">
        <v>3</v>
      </c>
      <c r="M89" s="23" t="n">
        <f aca="false">IF(OR(K89="",L89=""),"",K89*L89*3)</f>
        <v>9</v>
      </c>
      <c r="N89" s="23" t="s">
        <v>187</v>
      </c>
      <c r="O89" s="23" t="n">
        <v>8.81721</v>
      </c>
      <c r="P89" s="23" t="n">
        <v>8.622247</v>
      </c>
      <c r="Q89" s="23" t="n">
        <v>8.560624</v>
      </c>
      <c r="R89" s="23" t="s">
        <v>164</v>
      </c>
      <c r="S89" s="23" t="s">
        <v>536</v>
      </c>
      <c r="T89" s="23" t="s">
        <v>18</v>
      </c>
      <c r="U89" s="23" t="s">
        <v>178</v>
      </c>
      <c r="V89" s="23" t="s">
        <v>537</v>
      </c>
      <c r="W89" s="23" t="s">
        <v>538</v>
      </c>
      <c r="X89" s="23" t="n">
        <v>9.128501</v>
      </c>
      <c r="Y89" s="23" t="n">
        <f aca="false">IF(OR(Q89="",X89=""),"",Q89-X89)</f>
        <v>-0.567876999999999</v>
      </c>
      <c r="Z89" s="23" t="n">
        <f aca="false">IF(OR(Q89="",X89="",X89=0),"",Q89/X89-1)</f>
        <v>-0.0622092279992081</v>
      </c>
      <c r="AA89" s="23" t="n">
        <v>8.25663190724723</v>
      </c>
      <c r="AB89" s="23" t="n">
        <v>7.8970367426452</v>
      </c>
      <c r="AC89" s="23" t="n">
        <v>6.95765484909307</v>
      </c>
      <c r="AD89" s="23" t="n">
        <v>8.27026407471985</v>
      </c>
      <c r="AE89" s="23" t="n">
        <f aca="false">IF(OR(AC89="",AD89=""),"",AC89-AD89)</f>
        <v>-1.31260922562679</v>
      </c>
      <c r="AF89" s="23" t="n">
        <f aca="false">IF(OR(AC89="",AD89="",AD89=0),"",AC89/AD89-1)</f>
        <v>-0.15871430631086</v>
      </c>
      <c r="AG89" s="23" t="n">
        <v>9.12704644376511</v>
      </c>
      <c r="AH89" s="23" t="n">
        <v>9.03720507523412</v>
      </c>
      <c r="AI89" s="23" t="n">
        <v>9.67514955604425</v>
      </c>
      <c r="AJ89" s="23" t="n">
        <v>9.62807248093933</v>
      </c>
      <c r="AK89" s="23" t="n">
        <f aca="false">IF(OR(AI89="",AJ89=""),"",AI89-AJ89)</f>
        <v>0.0470770751049123</v>
      </c>
      <c r="AL89" s="23" t="n">
        <f aca="false">IF(OR(AI89="",AJ89="",AJ89=0),"",AI89/AJ89-1)</f>
        <v>0.00488956384552686</v>
      </c>
      <c r="AM89" s="23" t="n">
        <v>0</v>
      </c>
      <c r="AN89" s="23" t="s">
        <v>181</v>
      </c>
      <c r="AO89" s="23" t="s">
        <v>539</v>
      </c>
      <c r="AP89" s="23" t="s">
        <v>183</v>
      </c>
    </row>
    <row r="90" customFormat="false" ht="15" hidden="false" customHeight="false" outlineLevel="0" collapsed="false">
      <c r="A90" s="23" t="n">
        <v>88</v>
      </c>
      <c r="B90" s="23" t="n">
        <v>106</v>
      </c>
      <c r="C90" s="23" t="n">
        <v>40</v>
      </c>
      <c r="D90" s="23" t="s">
        <v>157</v>
      </c>
      <c r="E90" s="23" t="s">
        <v>171</v>
      </c>
      <c r="F90" s="23" t="s">
        <v>172</v>
      </c>
      <c r="G90" s="23" t="s">
        <v>540</v>
      </c>
      <c r="H90" s="23" t="s">
        <v>174</v>
      </c>
      <c r="I90" s="23" t="s">
        <v>175</v>
      </c>
      <c r="J90" s="23" t="n">
        <v>46249.8621933681</v>
      </c>
      <c r="K90" s="23" t="n">
        <v>1</v>
      </c>
      <c r="L90" s="23" t="n">
        <v>3</v>
      </c>
      <c r="M90" s="23" t="n">
        <f aca="false">IF(OR(K90="",L90=""),"",K90*L90*3)</f>
        <v>9</v>
      </c>
      <c r="N90" s="23" t="s">
        <v>176</v>
      </c>
      <c r="O90" s="23" t="n">
        <v>9.322195</v>
      </c>
      <c r="P90" s="23" t="n">
        <v>8.528825</v>
      </c>
      <c r="Q90" s="23" t="n">
        <v>8.477537</v>
      </c>
      <c r="R90" s="23" t="s">
        <v>164</v>
      </c>
      <c r="S90" s="23" t="s">
        <v>399</v>
      </c>
      <c r="T90" s="23" t="s">
        <v>18</v>
      </c>
      <c r="U90" s="23" t="s">
        <v>178</v>
      </c>
      <c r="V90" s="23" t="s">
        <v>400</v>
      </c>
      <c r="W90" s="23" t="s">
        <v>401</v>
      </c>
      <c r="X90" s="23" t="n">
        <v>9.874782</v>
      </c>
      <c r="Y90" s="23" t="n">
        <f aca="false">IF(OR(Q90="",X90=""),"",Q90-X90)</f>
        <v>-1.397245</v>
      </c>
      <c r="Z90" s="23" t="n">
        <f aca="false">IF(OR(Q90="",X90="",X90=0),"",Q90/X90-1)</f>
        <v>-0.141496288221856</v>
      </c>
      <c r="AA90" s="23" t="n">
        <v>8.558891</v>
      </c>
      <c r="AB90" s="23" t="n">
        <v>7.129645</v>
      </c>
      <c r="AC90" s="23" t="n">
        <v>6.665037</v>
      </c>
      <c r="AD90" s="23" t="n">
        <v>8.895737</v>
      </c>
      <c r="AE90" s="23" t="n">
        <f aca="false">IF(OR(AC90="",AD90=""),"",AC90-AD90)</f>
        <v>-2.2307</v>
      </c>
      <c r="AF90" s="23" t="n">
        <f aca="false">IF(OR(AC90="",AD90="",AD90=0),"",AC90/AD90-1)</f>
        <v>-0.250760560929353</v>
      </c>
      <c r="AG90" s="23" t="n">
        <v>9.757285</v>
      </c>
      <c r="AH90" s="23" t="n">
        <v>9.456761</v>
      </c>
      <c r="AI90" s="23" t="n">
        <v>9.811632</v>
      </c>
      <c r="AJ90" s="23" t="n">
        <v>10.449825</v>
      </c>
      <c r="AK90" s="23" t="n">
        <f aca="false">IF(OR(AI90="",AJ90=""),"",AI90-AJ90)</f>
        <v>-0.638193000000001</v>
      </c>
      <c r="AL90" s="23" t="n">
        <f aca="false">IF(OR(AI90="",AJ90="",AJ90=0),"",AI90/AJ90-1)</f>
        <v>-0.0610721232173745</v>
      </c>
      <c r="AM90" s="23" t="n">
        <v>0</v>
      </c>
      <c r="AN90" s="23" t="s">
        <v>181</v>
      </c>
      <c r="AO90" s="23" t="s">
        <v>541</v>
      </c>
      <c r="AP90" s="23" t="s">
        <v>183</v>
      </c>
    </row>
    <row r="91" customFormat="false" ht="15" hidden="false" customHeight="false" outlineLevel="0" collapsed="false">
      <c r="A91" s="23" t="n">
        <v>89</v>
      </c>
      <c r="B91" s="23" t="n">
        <v>104</v>
      </c>
      <c r="C91" s="23" t="n">
        <v>66</v>
      </c>
      <c r="D91" s="23" t="s">
        <v>157</v>
      </c>
      <c r="E91" s="23" t="s">
        <v>336</v>
      </c>
      <c r="F91" s="23" t="s">
        <v>337</v>
      </c>
      <c r="G91" s="23" t="s">
        <v>339</v>
      </c>
      <c r="H91" s="23" t="s">
        <v>174</v>
      </c>
      <c r="I91" s="23" t="s">
        <v>175</v>
      </c>
      <c r="J91" s="23" t="n">
        <v>46249.6790629514</v>
      </c>
      <c r="K91" s="23" t="n">
        <v>1</v>
      </c>
      <c r="L91" s="23" t="n">
        <v>3</v>
      </c>
      <c r="M91" s="23" t="n">
        <f aca="false">IF(OR(K91="",L91=""),"",K91*L91*3)</f>
        <v>9</v>
      </c>
      <c r="N91" s="23" t="s">
        <v>339</v>
      </c>
      <c r="O91" s="23" t="n">
        <v>9.110494</v>
      </c>
      <c r="P91" s="23" t="n">
        <v>8.641395</v>
      </c>
      <c r="Q91" s="23" t="n">
        <v>8.454125</v>
      </c>
      <c r="R91" s="23" t="s">
        <v>164</v>
      </c>
      <c r="S91" s="23" t="s">
        <v>132</v>
      </c>
      <c r="T91" s="23" t="s">
        <v>18</v>
      </c>
      <c r="U91" s="23" t="s">
        <v>341</v>
      </c>
      <c r="V91" s="23" t="s">
        <v>207</v>
      </c>
      <c r="W91" s="23" t="s">
        <v>207</v>
      </c>
      <c r="X91" s="23" t="n">
        <v>8.454125</v>
      </c>
      <c r="Y91" s="23" t="n">
        <f aca="false">IF(OR(Q91="",X91=""),"",Q91-X91)</f>
        <v>0</v>
      </c>
      <c r="Z91" s="23" t="n">
        <f aca="false">IF(OR(Q91="",X91="",X91=0),"",Q91/X91-1)</f>
        <v>0</v>
      </c>
      <c r="AA91" s="23" t="n">
        <v>8.73968583133779</v>
      </c>
      <c r="AB91" s="23" t="n">
        <v>8.48840687941701</v>
      </c>
      <c r="AC91" s="23" t="n">
        <v>6.85680852605532</v>
      </c>
      <c r="AD91" s="23" t="n">
        <v>6.85680852605532</v>
      </c>
      <c r="AE91" s="23" t="n">
        <f aca="false">IF(OR(AC91="",AD91=""),"",AC91-AD91)</f>
        <v>0</v>
      </c>
      <c r="AF91" s="23" t="n">
        <f aca="false">IF(OR(AC91="",AD91="",AD91=0),"",AC91/AD91-1)</f>
        <v>0</v>
      </c>
      <c r="AG91" s="23" t="n">
        <v>9.30795299475035</v>
      </c>
      <c r="AH91" s="23" t="n">
        <v>8.71997614119211</v>
      </c>
      <c r="AI91" s="23" t="n">
        <v>9.56864955918712</v>
      </c>
      <c r="AJ91" s="23" t="n">
        <v>9.56864955918712</v>
      </c>
      <c r="AK91" s="23" t="n">
        <f aca="false">IF(OR(AI91="",AJ91=""),"",AI91-AJ91)</f>
        <v>0</v>
      </c>
      <c r="AL91" s="23" t="n">
        <f aca="false">IF(OR(AI91="",AJ91="",AJ91=0),"",AI91/AJ91-1)</f>
        <v>0</v>
      </c>
      <c r="AM91" s="23" t="n">
        <v>0</v>
      </c>
      <c r="AN91" s="23"/>
      <c r="AO91" s="23" t="s">
        <v>542</v>
      </c>
      <c r="AP91" s="23" t="s">
        <v>345</v>
      </c>
    </row>
    <row r="92" customFormat="false" ht="15" hidden="false" customHeight="false" outlineLevel="0" collapsed="false">
      <c r="A92" s="23" t="n">
        <v>90</v>
      </c>
      <c r="B92" s="23" t="n">
        <v>102</v>
      </c>
      <c r="C92" s="23" t="n">
        <v>88</v>
      </c>
      <c r="D92" s="23" t="s">
        <v>157</v>
      </c>
      <c r="E92" s="23" t="s">
        <v>275</v>
      </c>
      <c r="F92" s="23" t="s">
        <v>276</v>
      </c>
      <c r="G92" s="23" t="s">
        <v>543</v>
      </c>
      <c r="H92" s="23" t="s">
        <v>174</v>
      </c>
      <c r="I92" s="23" t="s">
        <v>175</v>
      </c>
      <c r="J92" s="23" t="n">
        <v>46249.6487641204</v>
      </c>
      <c r="K92" s="23" t="n">
        <v>1</v>
      </c>
      <c r="L92" s="23" t="n">
        <v>3</v>
      </c>
      <c r="M92" s="23" t="n">
        <f aca="false">IF(OR(K92="",L92=""),"",K92*L92*3)</f>
        <v>9</v>
      </c>
      <c r="N92" s="23" t="s">
        <v>278</v>
      </c>
      <c r="O92" s="23" t="n">
        <v>8.797804</v>
      </c>
      <c r="P92" s="23" t="n">
        <v>8.481261</v>
      </c>
      <c r="Q92" s="23" t="n">
        <v>8.245211</v>
      </c>
      <c r="R92" s="23" t="s">
        <v>164</v>
      </c>
      <c r="S92" s="23" t="s">
        <v>544</v>
      </c>
      <c r="T92" s="23" t="s">
        <v>18</v>
      </c>
      <c r="U92" s="23" t="s">
        <v>280</v>
      </c>
      <c r="V92" s="23" t="s">
        <v>545</v>
      </c>
      <c r="W92" s="23" t="s">
        <v>546</v>
      </c>
      <c r="X92" s="23" t="n">
        <v>9.190881</v>
      </c>
      <c r="Y92" s="23" t="n">
        <f aca="false">IF(OR(Q92="",X92=""),"",Q92-X92)</f>
        <v>-0.94567</v>
      </c>
      <c r="Z92" s="23" t="n">
        <f aca="false">IF(OR(Q92="",X92="",X92=0),"",Q92/X92-1)</f>
        <v>-0.102892203696251</v>
      </c>
      <c r="AA92" s="23" t="n">
        <v>8.24713916013193</v>
      </c>
      <c r="AB92" s="23" t="n">
        <v>7.64260758770354</v>
      </c>
      <c r="AC92" s="23" t="n">
        <v>6.99455167259305</v>
      </c>
      <c r="AD92" s="23" t="n">
        <v>8.30350417746048</v>
      </c>
      <c r="AE92" s="23" t="n">
        <f aca="false">IF(OR(AC92="",AD92=""),"",AC92-AD92)</f>
        <v>-1.30895250486743</v>
      </c>
      <c r="AF92" s="23" t="n">
        <f aca="false">IF(OR(AC92="",AD92="",AD92=0),"",AC92/AD92-1)</f>
        <v>-0.157638567632751</v>
      </c>
      <c r="AG92" s="23" t="n">
        <v>9.10166489234504</v>
      </c>
      <c r="AH92" s="23" t="n">
        <v>8.973615545941</v>
      </c>
      <c r="AI92" s="23" t="n">
        <v>9.05472553820324</v>
      </c>
      <c r="AJ92" s="23" t="n">
        <v>9.70970855124238</v>
      </c>
      <c r="AK92" s="23" t="n">
        <f aca="false">IF(OR(AI92="",AJ92=""),"",AI92-AJ92)</f>
        <v>-0.654983013039139</v>
      </c>
      <c r="AL92" s="23" t="n">
        <f aca="false">IF(OR(AI92="",AJ92="",AJ92=0),"",AI92/AJ92-1)</f>
        <v>-0.0674565059890837</v>
      </c>
      <c r="AM92" s="23" t="n">
        <v>0</v>
      </c>
      <c r="AN92" s="23"/>
      <c r="AO92" s="23" t="s">
        <v>547</v>
      </c>
      <c r="AP92" s="23" t="s">
        <v>284</v>
      </c>
    </row>
    <row r="93" customFormat="false" ht="15" hidden="false" customHeight="false" outlineLevel="0" collapsed="false">
      <c r="A93" s="23" t="n">
        <v>91</v>
      </c>
      <c r="B93" s="23" t="n">
        <v>89</v>
      </c>
      <c r="C93" s="23" t="n">
        <v>92</v>
      </c>
      <c r="D93" s="23" t="s">
        <v>157</v>
      </c>
      <c r="E93" s="23" t="s">
        <v>158</v>
      </c>
      <c r="F93" s="23" t="s">
        <v>159</v>
      </c>
      <c r="G93" s="23" t="s">
        <v>331</v>
      </c>
      <c r="H93" s="23" t="s">
        <v>548</v>
      </c>
      <c r="I93" s="23" t="s">
        <v>162</v>
      </c>
      <c r="J93" s="23" t="n">
        <v>46250.5115295486</v>
      </c>
      <c r="K93" s="23" t="n">
        <v>1</v>
      </c>
      <c r="L93" s="23" t="n">
        <v>3</v>
      </c>
      <c r="M93" s="23" t="n">
        <f aca="false">IF(OR(K93="",L93=""),"",K93*L93*3)</f>
        <v>9</v>
      </c>
      <c r="N93" s="23" t="s">
        <v>163</v>
      </c>
      <c r="O93" s="23" t="n">
        <v>9.18289</v>
      </c>
      <c r="P93" s="23" t="n">
        <v>6.89967</v>
      </c>
      <c r="Q93" s="23" t="n">
        <v>8.08692</v>
      </c>
      <c r="R93" s="23" t="s">
        <v>164</v>
      </c>
      <c r="S93" s="23" t="s">
        <v>332</v>
      </c>
      <c r="T93" s="23" t="s">
        <v>18</v>
      </c>
      <c r="U93" s="23" t="s">
        <v>166</v>
      </c>
      <c r="V93" s="23" t="s">
        <v>333</v>
      </c>
      <c r="W93" s="23" t="s">
        <v>334</v>
      </c>
      <c r="X93" s="23" t="n">
        <v>7.906646</v>
      </c>
      <c r="Y93" s="23" t="n">
        <f aca="false">IF(OR(Q93="",X93=""),"",Q93-X93)</f>
        <v>0.180273999999999</v>
      </c>
      <c r="Z93" s="23" t="n">
        <f aca="false">IF(OR(Q93="",X93="",X93=0),"",Q93/X93-1)</f>
        <v>0.0228003125471912</v>
      </c>
      <c r="AA93" s="23" t="n">
        <v>9.1299300085627</v>
      </c>
      <c r="AB93" s="23" t="n">
        <v>5.96055497560942</v>
      </c>
      <c r="AC93" s="23" t="n">
        <v>7.4890702808608</v>
      </c>
      <c r="AD93" s="23" t="n">
        <v>7.29451607183497</v>
      </c>
      <c r="AE93" s="23" t="n">
        <f aca="false">IF(OR(AC93="",AD93=""),"",AC93-AD93)</f>
        <v>0.194554209025829</v>
      </c>
      <c r="AF93" s="23" t="n">
        <f aca="false">IF(OR(AC93="",AD93="",AD93=0),"",AC93/AD93-1)</f>
        <v>0.0266712976035555</v>
      </c>
      <c r="AG93" s="23" t="n">
        <v>9.20960147612059</v>
      </c>
      <c r="AH93" s="23" t="n">
        <v>7.48968898219343</v>
      </c>
      <c r="AI93" s="23" t="n">
        <v>8.42312822508555</v>
      </c>
      <c r="AJ93" s="23" t="n">
        <v>8.25292436242912</v>
      </c>
      <c r="AK93" s="23" t="n">
        <f aca="false">IF(OR(AI93="",AJ93=""),"",AI93-AJ93)</f>
        <v>0.170203862656431</v>
      </c>
      <c r="AL93" s="23" t="n">
        <f aca="false">IF(OR(AI93="",AJ93="",AJ93=0),"",AI93/AJ93-1)</f>
        <v>0.0206234608705822</v>
      </c>
      <c r="AM93" s="23" t="n">
        <v>0</v>
      </c>
      <c r="AN93" s="23" t="s">
        <v>169</v>
      </c>
      <c r="AO93" s="23" t="s">
        <v>549</v>
      </c>
      <c r="AP93" s="23" t="s">
        <v>80</v>
      </c>
    </row>
    <row r="94" customFormat="false" ht="15" hidden="false" customHeight="false" outlineLevel="0" collapsed="false">
      <c r="A94" s="23" t="n">
        <v>92</v>
      </c>
      <c r="B94" s="23" t="n">
        <v>86</v>
      </c>
      <c r="C94" s="23" t="n">
        <v>98</v>
      </c>
      <c r="D94" s="23" t="s">
        <v>157</v>
      </c>
      <c r="E94" s="23" t="s">
        <v>158</v>
      </c>
      <c r="F94" s="23" t="s">
        <v>159</v>
      </c>
      <c r="G94" s="23" t="s">
        <v>294</v>
      </c>
      <c r="H94" s="23" t="s">
        <v>548</v>
      </c>
      <c r="I94" s="23" t="s">
        <v>162</v>
      </c>
      <c r="J94" s="23" t="n">
        <v>46250.5206505671</v>
      </c>
      <c r="K94" s="23" t="n">
        <v>1</v>
      </c>
      <c r="L94" s="23" t="n">
        <v>3</v>
      </c>
      <c r="M94" s="23" t="n">
        <f aca="false">IF(OR(K94="",L94=""),"",K94*L94*3)</f>
        <v>9</v>
      </c>
      <c r="N94" s="23" t="s">
        <v>163</v>
      </c>
      <c r="O94" s="23" t="n">
        <v>9.250078</v>
      </c>
      <c r="P94" s="23" t="n">
        <v>7.171281</v>
      </c>
      <c r="Q94" s="23" t="n">
        <v>8.054791</v>
      </c>
      <c r="R94" s="23" t="s">
        <v>164</v>
      </c>
      <c r="S94" s="23" t="s">
        <v>295</v>
      </c>
      <c r="T94" s="23" t="s">
        <v>18</v>
      </c>
      <c r="U94" s="23" t="s">
        <v>166</v>
      </c>
      <c r="V94" s="23" t="s">
        <v>296</v>
      </c>
      <c r="W94" s="23" t="s">
        <v>297</v>
      </c>
      <c r="X94" s="23" t="n">
        <v>7.906646</v>
      </c>
      <c r="Y94" s="23" t="n">
        <f aca="false">IF(OR(Q94="",X94=""),"",Q94-X94)</f>
        <v>0.148145</v>
      </c>
      <c r="Z94" s="23" t="n">
        <f aca="false">IF(OR(Q94="",X94="",X94=0),"",Q94/X94-1)</f>
        <v>0.0187367690421449</v>
      </c>
      <c r="AA94" s="23" t="n">
        <v>9.05146899611174</v>
      </c>
      <c r="AB94" s="23" t="n">
        <v>6.72561641947652</v>
      </c>
      <c r="AC94" s="23" t="n">
        <v>7.72822147506016</v>
      </c>
      <c r="AD94" s="23" t="n">
        <v>7.29451607183497</v>
      </c>
      <c r="AE94" s="23" t="n">
        <f aca="false">IF(OR(AC94="",AD94=""),"",AC94-AD94)</f>
        <v>0.433705403225186</v>
      </c>
      <c r="AF94" s="23" t="n">
        <f aca="false">IF(OR(AC94="",AD94="",AD94=0),"",AC94/AD94-1)</f>
        <v>0.0594563640622818</v>
      </c>
      <c r="AG94" s="23" t="n">
        <v>9.35268651038225</v>
      </c>
      <c r="AH94" s="23" t="n">
        <v>7.41702082555999</v>
      </c>
      <c r="AI94" s="23" t="n">
        <v>8.22864906885457</v>
      </c>
      <c r="AJ94" s="23" t="n">
        <v>8.25292436242912</v>
      </c>
      <c r="AK94" s="23" t="n">
        <f aca="false">IF(OR(AI94="",AJ94=""),"",AI94-AJ94)</f>
        <v>-0.0242752935745454</v>
      </c>
      <c r="AL94" s="23" t="n">
        <f aca="false">IF(OR(AI94="",AJ94="",AJ94=0),"",AI94/AJ94-1)</f>
        <v>-0.0029414171884401</v>
      </c>
      <c r="AM94" s="23" t="n">
        <v>0</v>
      </c>
      <c r="AN94" s="23" t="s">
        <v>169</v>
      </c>
      <c r="AO94" s="23" t="s">
        <v>550</v>
      </c>
      <c r="AP94" s="23" t="s">
        <v>80</v>
      </c>
    </row>
    <row r="95" customFormat="false" ht="15" hidden="false" customHeight="false" outlineLevel="0" collapsed="false">
      <c r="A95" s="23" t="n">
        <v>93</v>
      </c>
      <c r="B95" s="23" t="n">
        <v>91</v>
      </c>
      <c r="C95" s="23" t="n">
        <v>91</v>
      </c>
      <c r="D95" s="23" t="s">
        <v>157</v>
      </c>
      <c r="E95" s="23" t="s">
        <v>158</v>
      </c>
      <c r="F95" s="23" t="s">
        <v>159</v>
      </c>
      <c r="G95" s="23" t="s">
        <v>160</v>
      </c>
      <c r="H95" s="23" t="s">
        <v>548</v>
      </c>
      <c r="I95" s="23" t="s">
        <v>162</v>
      </c>
      <c r="J95" s="23" t="n">
        <v>46250.5935976273</v>
      </c>
      <c r="K95" s="23" t="n">
        <v>1</v>
      </c>
      <c r="L95" s="23" t="n">
        <v>3</v>
      </c>
      <c r="M95" s="23" t="n">
        <f aca="false">IF(OR(K95="",L95=""),"",K95*L95*3)</f>
        <v>9</v>
      </c>
      <c r="N95" s="23" t="s">
        <v>163</v>
      </c>
      <c r="O95" s="23" t="n">
        <v>8.914558</v>
      </c>
      <c r="P95" s="23" t="n">
        <v>7.31921</v>
      </c>
      <c r="Q95" s="23" t="n">
        <v>8.051822</v>
      </c>
      <c r="R95" s="23" t="s">
        <v>164</v>
      </c>
      <c r="S95" s="23" t="s">
        <v>165</v>
      </c>
      <c r="T95" s="23" t="s">
        <v>18</v>
      </c>
      <c r="U95" s="23" t="s">
        <v>166</v>
      </c>
      <c r="V95" s="23" t="s">
        <v>167</v>
      </c>
      <c r="W95" s="23" t="s">
        <v>168</v>
      </c>
      <c r="X95" s="23" t="n">
        <v>7.906646</v>
      </c>
      <c r="Y95" s="23" t="n">
        <f aca="false">IF(OR(Q95="",X95=""),"",Q95-X95)</f>
        <v>0.145175999999999</v>
      </c>
      <c r="Z95" s="23" t="n">
        <f aca="false">IF(OR(Q95="",X95="",X95=0),"",Q95/X95-1)</f>
        <v>0.0183612621584424</v>
      </c>
      <c r="AA95" s="23" t="n">
        <v>8.31713062811517</v>
      </c>
      <c r="AB95" s="23" t="n">
        <v>6.71905819206289</v>
      </c>
      <c r="AC95" s="23" t="n">
        <v>7.38242620428893</v>
      </c>
      <c r="AD95" s="23" t="n">
        <v>7.29451607183497</v>
      </c>
      <c r="AE95" s="23" t="n">
        <f aca="false">IF(OR(AC95="",AD95=""),"",AC95-AD95)</f>
        <v>0.0879101324539588</v>
      </c>
      <c r="AF95" s="23" t="n">
        <f aca="false">IF(OR(AC95="",AD95="",AD95=0),"",AC95/AD95-1)</f>
        <v>0.0120515372902379</v>
      </c>
      <c r="AG95" s="23" t="n">
        <v>9.24665640215404</v>
      </c>
      <c r="AH95" s="23" t="n">
        <v>7.66136986113216</v>
      </c>
      <c r="AI95" s="23" t="n">
        <v>8.43420490548728</v>
      </c>
      <c r="AJ95" s="23" t="n">
        <v>8.25292436242912</v>
      </c>
      <c r="AK95" s="23" t="n">
        <f aca="false">IF(OR(AI95="",AJ95=""),"",AI95-AJ95)</f>
        <v>0.181280543058159</v>
      </c>
      <c r="AL95" s="23" t="n">
        <f aca="false">IF(OR(AI95="",AJ95="",AJ95=0),"",AI95/AJ95-1)</f>
        <v>0.0219656130478338</v>
      </c>
      <c r="AM95" s="23" t="n">
        <v>0</v>
      </c>
      <c r="AN95" s="23" t="s">
        <v>169</v>
      </c>
      <c r="AO95" s="23" t="s">
        <v>551</v>
      </c>
      <c r="AP95" s="23" t="s">
        <v>80</v>
      </c>
    </row>
    <row r="96" customFormat="false" ht="15" hidden="false" customHeight="false" outlineLevel="0" collapsed="false">
      <c r="A96" s="23" t="n">
        <v>94</v>
      </c>
      <c r="B96" s="23" t="n">
        <v>92</v>
      </c>
      <c r="C96" s="23" t="n">
        <v>93</v>
      </c>
      <c r="D96" s="23" t="s">
        <v>157</v>
      </c>
      <c r="E96" s="23" t="s">
        <v>158</v>
      </c>
      <c r="F96" s="23" t="s">
        <v>159</v>
      </c>
      <c r="G96" s="23" t="s">
        <v>197</v>
      </c>
      <c r="H96" s="23" t="s">
        <v>548</v>
      </c>
      <c r="I96" s="23" t="s">
        <v>162</v>
      </c>
      <c r="J96" s="23" t="n">
        <v>46250.5662654398</v>
      </c>
      <c r="K96" s="23" t="n">
        <v>1</v>
      </c>
      <c r="L96" s="23" t="n">
        <v>3</v>
      </c>
      <c r="M96" s="23" t="n">
        <f aca="false">IF(OR(K96="",L96=""),"",K96*L96*3)</f>
        <v>9</v>
      </c>
      <c r="N96" s="23" t="s">
        <v>163</v>
      </c>
      <c r="O96" s="23" t="n">
        <v>9.066445</v>
      </c>
      <c r="P96" s="23" t="n">
        <v>7.234609</v>
      </c>
      <c r="Q96" s="23" t="n">
        <v>7.983301</v>
      </c>
      <c r="R96" s="23" t="s">
        <v>164</v>
      </c>
      <c r="S96" s="23" t="s">
        <v>198</v>
      </c>
      <c r="T96" s="23" t="s">
        <v>18</v>
      </c>
      <c r="U96" s="23" t="s">
        <v>166</v>
      </c>
      <c r="V96" s="23" t="s">
        <v>199</v>
      </c>
      <c r="W96" s="23" t="s">
        <v>200</v>
      </c>
      <c r="X96" s="23" t="n">
        <v>7.906646</v>
      </c>
      <c r="Y96" s="23" t="n">
        <f aca="false">IF(OR(Q96="",X96=""),"",Q96-X96)</f>
        <v>0.0766549999999997</v>
      </c>
      <c r="Z96" s="23" t="n">
        <f aca="false">IF(OR(Q96="",X96="",X96=0),"",Q96/X96-1)</f>
        <v>0.00969500847767812</v>
      </c>
      <c r="AA96" s="23" t="n">
        <v>8.88097869543995</v>
      </c>
      <c r="AB96" s="23" t="n">
        <v>6.91817143604997</v>
      </c>
      <c r="AC96" s="23" t="n">
        <v>7.38231755358103</v>
      </c>
      <c r="AD96" s="23" t="n">
        <v>7.29451607183497</v>
      </c>
      <c r="AE96" s="23" t="n">
        <f aca="false">IF(OR(AC96="",AD96=""),"",AC96-AD96)</f>
        <v>0.0878014817460544</v>
      </c>
      <c r="AF96" s="23" t="n">
        <f aca="false">IF(OR(AC96="",AD96="",AD96=0),"",AC96/AD96-1)</f>
        <v>0.012036642442268</v>
      </c>
      <c r="AG96" s="23" t="n">
        <v>9.16211374933495</v>
      </c>
      <c r="AH96" s="23" t="n">
        <v>7.40393682299306</v>
      </c>
      <c r="AI96" s="23" t="n">
        <v>8.3220438397757</v>
      </c>
      <c r="AJ96" s="23" t="n">
        <v>8.25292436242912</v>
      </c>
      <c r="AK96" s="23" t="n">
        <f aca="false">IF(OR(AI96="",AJ96=""),"",AI96-AJ96)</f>
        <v>0.0691194773465842</v>
      </c>
      <c r="AL96" s="23" t="n">
        <f aca="false">IF(OR(AI96="",AJ96="",AJ96=0),"",AI96/AJ96-1)</f>
        <v>0.00837514974222309</v>
      </c>
      <c r="AM96" s="23" t="n">
        <v>0</v>
      </c>
      <c r="AN96" s="23" t="s">
        <v>169</v>
      </c>
      <c r="AO96" s="23" t="s">
        <v>552</v>
      </c>
      <c r="AP96" s="23" t="s">
        <v>80</v>
      </c>
    </row>
    <row r="97" customFormat="false" ht="15" hidden="false" customHeight="false" outlineLevel="0" collapsed="false">
      <c r="A97" s="23" t="n">
        <v>95</v>
      </c>
      <c r="B97" s="23" t="n">
        <v>97</v>
      </c>
      <c r="C97" s="23" t="n">
        <v>94</v>
      </c>
      <c r="D97" s="23" t="s">
        <v>157</v>
      </c>
      <c r="E97" s="23" t="s">
        <v>158</v>
      </c>
      <c r="F97" s="23" t="s">
        <v>159</v>
      </c>
      <c r="G97" s="23" t="s">
        <v>245</v>
      </c>
      <c r="H97" s="23" t="s">
        <v>548</v>
      </c>
      <c r="I97" s="23" t="s">
        <v>162</v>
      </c>
      <c r="J97" s="23" t="n">
        <v>46250.548014294</v>
      </c>
      <c r="K97" s="23" t="n">
        <v>1</v>
      </c>
      <c r="L97" s="23" t="n">
        <v>3</v>
      </c>
      <c r="M97" s="23" t="n">
        <f aca="false">IF(OR(K97="",L97=""),"",K97*L97*3)</f>
        <v>9</v>
      </c>
      <c r="N97" s="23" t="s">
        <v>163</v>
      </c>
      <c r="O97" s="23" t="n">
        <v>9.102396</v>
      </c>
      <c r="P97" s="23" t="n">
        <v>7.459421</v>
      </c>
      <c r="Q97" s="23" t="n">
        <v>7.915782</v>
      </c>
      <c r="R97" s="23" t="s">
        <v>164</v>
      </c>
      <c r="S97" s="23" t="s">
        <v>246</v>
      </c>
      <c r="T97" s="23" t="s">
        <v>18</v>
      </c>
      <c r="U97" s="23" t="s">
        <v>166</v>
      </c>
      <c r="V97" s="23" t="s">
        <v>247</v>
      </c>
      <c r="W97" s="23" t="s">
        <v>248</v>
      </c>
      <c r="X97" s="23" t="n">
        <v>7.906646</v>
      </c>
      <c r="Y97" s="23" t="n">
        <f aca="false">IF(OR(Q97="",X97=""),"",Q97-X97)</f>
        <v>0.00913599999999981</v>
      </c>
      <c r="Z97" s="23" t="n">
        <f aca="false">IF(OR(Q97="",X97="",X97=0),"",Q97/X97-1)</f>
        <v>0.00115548362731799</v>
      </c>
      <c r="AA97" s="23" t="n">
        <v>8.51207148212619</v>
      </c>
      <c r="AB97" s="23" t="n">
        <v>6.88975769724739</v>
      </c>
      <c r="AC97" s="23" t="n">
        <v>7.23776227329817</v>
      </c>
      <c r="AD97" s="23" t="n">
        <v>7.29451607183497</v>
      </c>
      <c r="AE97" s="23" t="n">
        <f aca="false">IF(OR(AC97="",AD97=""),"",AC97-AD97)</f>
        <v>-0.056753798536799</v>
      </c>
      <c r="AF97" s="23" t="n">
        <f aca="false">IF(OR(AC97="",AD97="",AD97=0),"",AC97/AD97-1)</f>
        <v>-0.0077803377191713</v>
      </c>
      <c r="AG97" s="23" t="n">
        <v>9.42936624159642</v>
      </c>
      <c r="AH97" s="23" t="n">
        <v>7.78110171320285</v>
      </c>
      <c r="AI97" s="23" t="n">
        <v>8.30476956699337</v>
      </c>
      <c r="AJ97" s="23" t="n">
        <v>8.25292436242912</v>
      </c>
      <c r="AK97" s="23" t="n">
        <f aca="false">IF(OR(AI97="",AJ97=""),"",AI97-AJ97)</f>
        <v>0.0518452045642484</v>
      </c>
      <c r="AL97" s="23" t="n">
        <f aca="false">IF(OR(AI97="",AJ97="",AJ97=0),"",AI97/AJ97-1)</f>
        <v>0.00628204043651115</v>
      </c>
      <c r="AM97" s="23" t="n">
        <v>0</v>
      </c>
      <c r="AN97" s="23" t="s">
        <v>169</v>
      </c>
      <c r="AO97" s="23" t="s">
        <v>553</v>
      </c>
      <c r="AP97" s="23" t="s">
        <v>80</v>
      </c>
    </row>
    <row r="98" customFormat="false" ht="15" hidden="false" customHeight="false" outlineLevel="0" collapsed="false">
      <c r="A98" s="23" t="n">
        <v>96</v>
      </c>
      <c r="B98" s="23" t="n">
        <v>95</v>
      </c>
      <c r="C98" s="23" t="n">
        <v>96</v>
      </c>
      <c r="D98" s="23" t="s">
        <v>157</v>
      </c>
      <c r="E98" s="23" t="s">
        <v>158</v>
      </c>
      <c r="F98" s="23" t="s">
        <v>159</v>
      </c>
      <c r="G98" s="23" t="s">
        <v>222</v>
      </c>
      <c r="H98" s="23" t="s">
        <v>548</v>
      </c>
      <c r="I98" s="23" t="s">
        <v>162</v>
      </c>
      <c r="J98" s="23" t="n">
        <v>46250.4749977315</v>
      </c>
      <c r="K98" s="23" t="n">
        <v>1</v>
      </c>
      <c r="L98" s="23" t="n">
        <v>3</v>
      </c>
      <c r="M98" s="23" t="n">
        <f aca="false">IF(OR(K98="",L98=""),"",K98*L98*3)</f>
        <v>9</v>
      </c>
      <c r="N98" s="23" t="s">
        <v>163</v>
      </c>
      <c r="O98" s="23" t="n">
        <v>9.043175</v>
      </c>
      <c r="P98" s="23" t="n">
        <v>7.175357</v>
      </c>
      <c r="Q98" s="23" t="n">
        <v>7.906646</v>
      </c>
      <c r="R98" s="23" t="s">
        <v>164</v>
      </c>
      <c r="S98" s="23" t="s">
        <v>132</v>
      </c>
      <c r="T98" s="23" t="s">
        <v>18</v>
      </c>
      <c r="U98" s="23" t="s">
        <v>166</v>
      </c>
      <c r="V98" s="23" t="s">
        <v>207</v>
      </c>
      <c r="W98" s="23" t="s">
        <v>207</v>
      </c>
      <c r="X98" s="23" t="n">
        <v>7.906646</v>
      </c>
      <c r="Y98" s="23" t="n">
        <f aca="false">IF(OR(Q98="",X98=""),"",Q98-X98)</f>
        <v>0</v>
      </c>
      <c r="Z98" s="23" t="n">
        <f aca="false">IF(OR(Q98="",X98="",X98=0),"",Q98/X98-1)</f>
        <v>0</v>
      </c>
      <c r="AA98" s="23" t="n">
        <v>8.49543456370135</v>
      </c>
      <c r="AB98" s="23" t="n">
        <v>6.71476640711239</v>
      </c>
      <c r="AC98" s="23" t="n">
        <v>7.29451607183497</v>
      </c>
      <c r="AD98" s="23" t="n">
        <v>7.29451607183497</v>
      </c>
      <c r="AE98" s="23" t="n">
        <f aca="false">IF(OR(AC98="",AD98=""),"",AC98-AD98)</f>
        <v>0</v>
      </c>
      <c r="AF98" s="23" t="n">
        <f aca="false">IF(OR(AC98="",AD98="",AD98=0),"",AC98/AD98-1)</f>
        <v>0</v>
      </c>
      <c r="AG98" s="23" t="n">
        <v>9.34441428161549</v>
      </c>
      <c r="AH98" s="23" t="n">
        <v>7.43018851014017</v>
      </c>
      <c r="AI98" s="23" t="n">
        <v>8.25292436242912</v>
      </c>
      <c r="AJ98" s="23" t="n">
        <v>8.25292436242912</v>
      </c>
      <c r="AK98" s="23" t="n">
        <f aca="false">IF(OR(AI98="",AJ98=""),"",AI98-AJ98)</f>
        <v>0</v>
      </c>
      <c r="AL98" s="23" t="n">
        <f aca="false">IF(OR(AI98="",AJ98="",AJ98=0),"",AI98/AJ98-1)</f>
        <v>0</v>
      </c>
      <c r="AM98" s="23" t="n">
        <v>0</v>
      </c>
      <c r="AN98" s="23" t="s">
        <v>169</v>
      </c>
      <c r="AO98" s="23" t="s">
        <v>554</v>
      </c>
      <c r="AP98" s="23" t="s">
        <v>80</v>
      </c>
    </row>
    <row r="99" customFormat="false" ht="15" hidden="false" customHeight="false" outlineLevel="0" collapsed="false">
      <c r="A99" s="23" t="n">
        <v>97</v>
      </c>
      <c r="B99" s="23" t="n">
        <v>94</v>
      </c>
      <c r="C99" s="23" t="n">
        <v>99</v>
      </c>
      <c r="D99" s="23" t="s">
        <v>157</v>
      </c>
      <c r="E99" s="23" t="s">
        <v>158</v>
      </c>
      <c r="F99" s="23" t="s">
        <v>159</v>
      </c>
      <c r="G99" s="23" t="s">
        <v>520</v>
      </c>
      <c r="H99" s="23" t="s">
        <v>548</v>
      </c>
      <c r="I99" s="23" t="s">
        <v>162</v>
      </c>
      <c r="J99" s="23" t="n">
        <v>46250.5753946412</v>
      </c>
      <c r="K99" s="23" t="n">
        <v>1</v>
      </c>
      <c r="L99" s="23" t="n">
        <v>3</v>
      </c>
      <c r="M99" s="23" t="n">
        <f aca="false">IF(OR(K99="",L99=""),"",K99*L99*3)</f>
        <v>9</v>
      </c>
      <c r="N99" s="23" t="s">
        <v>163</v>
      </c>
      <c r="O99" s="23" t="n">
        <v>8.854481</v>
      </c>
      <c r="P99" s="23" t="n">
        <v>7.155572</v>
      </c>
      <c r="Q99" s="23" t="n">
        <v>7.883671</v>
      </c>
      <c r="R99" s="23" t="s">
        <v>164</v>
      </c>
      <c r="S99" s="23" t="s">
        <v>521</v>
      </c>
      <c r="T99" s="23" t="s">
        <v>18</v>
      </c>
      <c r="U99" s="23" t="s">
        <v>166</v>
      </c>
      <c r="V99" s="23" t="s">
        <v>522</v>
      </c>
      <c r="W99" s="23" t="s">
        <v>523</v>
      </c>
      <c r="X99" s="23" t="n">
        <v>7.906646</v>
      </c>
      <c r="Y99" s="23" t="n">
        <f aca="false">IF(OR(Q99="",X99=""),"",Q99-X99)</f>
        <v>-0.0229750000000006</v>
      </c>
      <c r="Z99" s="23" t="n">
        <f aca="false">IF(OR(Q99="",X99="",X99=0),"",Q99/X99-1)</f>
        <v>-0.0029057833119126</v>
      </c>
      <c r="AA99" s="23" t="n">
        <v>8.28985930124591</v>
      </c>
      <c r="AB99" s="23" t="n">
        <v>6.77846317654697</v>
      </c>
      <c r="AC99" s="23" t="n">
        <v>7.31947501496499</v>
      </c>
      <c r="AD99" s="23" t="n">
        <v>7.29451607183497</v>
      </c>
      <c r="AE99" s="23" t="n">
        <f aca="false">IF(OR(AC99="",AD99=""),"",AC99-AD99)</f>
        <v>0.0249589431300175</v>
      </c>
      <c r="AF99" s="23" t="n">
        <f aca="false">IF(OR(AC99="",AD99="",AD99=0),"",AC99/AD99-1)</f>
        <v>0.00342160369299704</v>
      </c>
      <c r="AG99" s="23" t="n">
        <v>9.16665100231663</v>
      </c>
      <c r="AH99" s="23" t="n">
        <v>7.36031092794927</v>
      </c>
      <c r="AI99" s="23" t="n">
        <v>8.19969325324889</v>
      </c>
      <c r="AJ99" s="23" t="n">
        <v>8.25292436242912</v>
      </c>
      <c r="AK99" s="23" t="n">
        <f aca="false">IF(OR(AI99="",AJ99=""),"",AI99-AJ99)</f>
        <v>-0.0532311091802225</v>
      </c>
      <c r="AL99" s="23" t="n">
        <f aca="false">IF(OR(AI99="",AJ99="",AJ99=0),"",AI99/AJ99-1)</f>
        <v>-0.00644996934935616</v>
      </c>
      <c r="AM99" s="23" t="n">
        <v>0</v>
      </c>
      <c r="AN99" s="23" t="s">
        <v>169</v>
      </c>
      <c r="AO99" s="23" t="s">
        <v>555</v>
      </c>
      <c r="AP99" s="23" t="s">
        <v>80</v>
      </c>
    </row>
    <row r="100" customFormat="false" ht="15" hidden="false" customHeight="false" outlineLevel="0" collapsed="false">
      <c r="A100" s="23" t="n">
        <v>98</v>
      </c>
      <c r="B100" s="23" t="n">
        <v>96</v>
      </c>
      <c r="C100" s="23" t="n">
        <v>97</v>
      </c>
      <c r="D100" s="23" t="s">
        <v>157</v>
      </c>
      <c r="E100" s="23" t="s">
        <v>158</v>
      </c>
      <c r="F100" s="23" t="s">
        <v>159</v>
      </c>
      <c r="G100" s="23" t="s">
        <v>235</v>
      </c>
      <c r="H100" s="23" t="s">
        <v>548</v>
      </c>
      <c r="I100" s="23" t="s">
        <v>162</v>
      </c>
      <c r="J100" s="23" t="n">
        <v>46250.5297914699</v>
      </c>
      <c r="K100" s="23" t="n">
        <v>1</v>
      </c>
      <c r="L100" s="23" t="n">
        <v>3</v>
      </c>
      <c r="M100" s="23" t="n">
        <f aca="false">IF(OR(K100="",L100=""),"",K100*L100*3)</f>
        <v>9</v>
      </c>
      <c r="N100" s="23" t="s">
        <v>163</v>
      </c>
      <c r="O100" s="23" t="n">
        <v>8.861559</v>
      </c>
      <c r="P100" s="23" t="n">
        <v>7.436243</v>
      </c>
      <c r="Q100" s="23" t="n">
        <v>7.881295</v>
      </c>
      <c r="R100" s="23" t="s">
        <v>164</v>
      </c>
      <c r="S100" s="23" t="s">
        <v>94</v>
      </c>
      <c r="T100" s="23" t="s">
        <v>18</v>
      </c>
      <c r="U100" s="23" t="s">
        <v>166</v>
      </c>
      <c r="V100" s="23" t="s">
        <v>236</v>
      </c>
      <c r="W100" s="23" t="s">
        <v>237</v>
      </c>
      <c r="X100" s="23" t="n">
        <v>7.906646</v>
      </c>
      <c r="Y100" s="23" t="n">
        <f aca="false">IF(OR(Q100="",X100=""),"",Q100-X100)</f>
        <v>-0.0253510000000006</v>
      </c>
      <c r="Z100" s="23" t="n">
        <f aca="false">IF(OR(Q100="",X100="",X100=0),"",Q100/X100-1)</f>
        <v>-0.00320628999957762</v>
      </c>
      <c r="AA100" s="23" t="n">
        <v>8.29403153904338</v>
      </c>
      <c r="AB100" s="23" t="n">
        <v>7.11749852573857</v>
      </c>
      <c r="AC100" s="23" t="n">
        <v>7.25264556678136</v>
      </c>
      <c r="AD100" s="23" t="n">
        <v>7.29451607183497</v>
      </c>
      <c r="AE100" s="23" t="n">
        <f aca="false">IF(OR(AC100="",AD100=""),"",AC100-AD100)</f>
        <v>-0.0418705050536072</v>
      </c>
      <c r="AF100" s="23" t="n">
        <f aca="false">IF(OR(AC100="",AD100="",AD100=0),"",AC100/AD100-1)</f>
        <v>-0.00573999764223898</v>
      </c>
      <c r="AG100" s="23" t="n">
        <v>9.17547927102986</v>
      </c>
      <c r="AH100" s="23" t="n">
        <v>7.60656668390296</v>
      </c>
      <c r="AI100" s="23" t="n">
        <v>8.2383397576169</v>
      </c>
      <c r="AJ100" s="23" t="n">
        <v>8.25292436242912</v>
      </c>
      <c r="AK100" s="23" t="n">
        <f aca="false">IF(OR(AI100="",AJ100=""),"",AI100-AJ100)</f>
        <v>-0.0145846048122209</v>
      </c>
      <c r="AL100" s="23" t="n">
        <f aca="false">IF(OR(AI100="",AJ100="",AJ100=0),"",AI100/AJ100-1)</f>
        <v>-0.00176720446859013</v>
      </c>
      <c r="AM100" s="23" t="n">
        <v>0</v>
      </c>
      <c r="AN100" s="23" t="s">
        <v>169</v>
      </c>
      <c r="AO100" s="23" t="s">
        <v>556</v>
      </c>
      <c r="AP100" s="23" t="s">
        <v>80</v>
      </c>
    </row>
    <row r="101" customFormat="false" ht="15" hidden="false" customHeight="false" outlineLevel="0" collapsed="false">
      <c r="A101" s="23" t="n">
        <v>99</v>
      </c>
      <c r="B101" s="23" t="n">
        <v>98</v>
      </c>
      <c r="C101" s="23" t="n">
        <v>95</v>
      </c>
      <c r="D101" s="23" t="s">
        <v>157</v>
      </c>
      <c r="E101" s="23" t="s">
        <v>158</v>
      </c>
      <c r="F101" s="23" t="s">
        <v>159</v>
      </c>
      <c r="G101" s="23" t="s">
        <v>228</v>
      </c>
      <c r="H101" s="23" t="s">
        <v>548</v>
      </c>
      <c r="I101" s="23" t="s">
        <v>162</v>
      </c>
      <c r="J101" s="23" t="n">
        <v>46250.4841293634</v>
      </c>
      <c r="K101" s="23" t="n">
        <v>1</v>
      </c>
      <c r="L101" s="23" t="n">
        <v>3</v>
      </c>
      <c r="M101" s="23" t="n">
        <f aca="false">IF(OR(K101="",L101=""),"",K101*L101*3)</f>
        <v>9</v>
      </c>
      <c r="N101" s="23" t="s">
        <v>163</v>
      </c>
      <c r="O101" s="23" t="n">
        <v>8.793462</v>
      </c>
      <c r="P101" s="23" t="n">
        <v>7.488302</v>
      </c>
      <c r="Q101" s="23" t="n">
        <v>7.865457</v>
      </c>
      <c r="R101" s="23" t="s">
        <v>164</v>
      </c>
      <c r="S101" s="23" t="s">
        <v>74</v>
      </c>
      <c r="T101" s="23" t="s">
        <v>18</v>
      </c>
      <c r="U101" s="23" t="s">
        <v>166</v>
      </c>
      <c r="V101" s="23" t="s">
        <v>229</v>
      </c>
      <c r="W101" s="23" t="s">
        <v>230</v>
      </c>
      <c r="X101" s="23" t="n">
        <v>7.906646</v>
      </c>
      <c r="Y101" s="23" t="n">
        <f aca="false">IF(OR(Q101="",X101=""),"",Q101-X101)</f>
        <v>-0.0411890000000001</v>
      </c>
      <c r="Z101" s="23" t="n">
        <f aca="false">IF(OR(Q101="",X101="",X101=0),"",Q101/X101-1)</f>
        <v>-0.00520941496558725</v>
      </c>
      <c r="AA101" s="23" t="n">
        <v>8.19486037339846</v>
      </c>
      <c r="AB101" s="23" t="n">
        <v>7.3914998971184</v>
      </c>
      <c r="AC101" s="23" t="n">
        <v>7.18961431129154</v>
      </c>
      <c r="AD101" s="23" t="n">
        <v>7.29451607183497</v>
      </c>
      <c r="AE101" s="23" t="n">
        <f aca="false">IF(OR(AC101="",AD101=""),"",AC101-AD101)</f>
        <v>-0.104901760543435</v>
      </c>
      <c r="AF101" s="23" t="n">
        <f aca="false">IF(OR(AC101="",AD101="",AD101=0),"",AC101/AD101-1)</f>
        <v>-0.0143809074529939</v>
      </c>
      <c r="AG101" s="23" t="n">
        <v>9.12680037017479</v>
      </c>
      <c r="AH101" s="23" t="n">
        <v>7.53766025997228</v>
      </c>
      <c r="AI101" s="23" t="n">
        <v>8.25337684356495</v>
      </c>
      <c r="AJ101" s="23" t="n">
        <v>8.25292436242912</v>
      </c>
      <c r="AK101" s="23" t="n">
        <f aca="false">IF(OR(AI101="",AJ101=""),"",AI101-AJ101)</f>
        <v>0.000452481135834404</v>
      </c>
      <c r="AL101" s="23" t="n">
        <f aca="false">IF(OR(AI101="",AJ101="",AJ101=0),"",AI101/AJ101-1)</f>
        <v>5.48267639401967E-005</v>
      </c>
      <c r="AM101" s="23" t="n">
        <v>0</v>
      </c>
      <c r="AN101" s="23" t="s">
        <v>169</v>
      </c>
      <c r="AO101" s="23" t="s">
        <v>557</v>
      </c>
      <c r="AP101" s="23" t="s">
        <v>80</v>
      </c>
    </row>
    <row r="102" customFormat="false" ht="15" hidden="false" customHeight="false" outlineLevel="0" collapsed="false">
      <c r="A102" s="23" t="n">
        <v>100</v>
      </c>
      <c r="B102" s="23" t="n">
        <v>93</v>
      </c>
      <c r="C102" s="23" t="n">
        <v>100</v>
      </c>
      <c r="D102" s="23" t="s">
        <v>157</v>
      </c>
      <c r="E102" s="23" t="s">
        <v>158</v>
      </c>
      <c r="F102" s="23" t="s">
        <v>159</v>
      </c>
      <c r="G102" s="23" t="s">
        <v>259</v>
      </c>
      <c r="H102" s="23" t="s">
        <v>548</v>
      </c>
      <c r="I102" s="23" t="s">
        <v>162</v>
      </c>
      <c r="J102" s="23" t="n">
        <v>46250.5844760764</v>
      </c>
      <c r="K102" s="23" t="n">
        <v>1</v>
      </c>
      <c r="L102" s="23" t="n">
        <v>3</v>
      </c>
      <c r="M102" s="23" t="n">
        <f aca="false">IF(OR(K102="",L102=""),"",K102*L102*3)</f>
        <v>9</v>
      </c>
      <c r="N102" s="23" t="s">
        <v>163</v>
      </c>
      <c r="O102" s="23" t="n">
        <v>8.619732</v>
      </c>
      <c r="P102" s="23" t="n">
        <v>7.339308</v>
      </c>
      <c r="Q102" s="23" t="n">
        <v>7.849896</v>
      </c>
      <c r="R102" s="23" t="s">
        <v>164</v>
      </c>
      <c r="S102" s="23" t="s">
        <v>260</v>
      </c>
      <c r="T102" s="23" t="s">
        <v>18</v>
      </c>
      <c r="U102" s="23" t="s">
        <v>166</v>
      </c>
      <c r="V102" s="23" t="s">
        <v>261</v>
      </c>
      <c r="W102" s="23" t="s">
        <v>262</v>
      </c>
      <c r="X102" s="23" t="n">
        <v>7.906646</v>
      </c>
      <c r="Y102" s="23" t="n">
        <f aca="false">IF(OR(Q102="",X102=""),"",Q102-X102)</f>
        <v>-0.0567500000000001</v>
      </c>
      <c r="Z102" s="23" t="n">
        <f aca="false">IF(OR(Q102="",X102="",X102=0),"",Q102/X102-1)</f>
        <v>-0.00717750611321155</v>
      </c>
      <c r="AA102" s="23" t="n">
        <v>8.17718796311622</v>
      </c>
      <c r="AB102" s="23" t="n">
        <v>6.79068222132101</v>
      </c>
      <c r="AC102" s="23" t="n">
        <v>7.34196327601494</v>
      </c>
      <c r="AD102" s="23" t="n">
        <v>7.29451607183497</v>
      </c>
      <c r="AE102" s="23" t="n">
        <f aca="false">IF(OR(AC102="",AD102=""),"",AC102-AD102)</f>
        <v>0.0474472041799698</v>
      </c>
      <c r="AF102" s="23" t="n">
        <f aca="false">IF(OR(AC102="",AD102="",AD102=0),"",AC102/AD102-1)</f>
        <v>0.00650450334370634</v>
      </c>
      <c r="AG102" s="23" t="n">
        <v>8.85946555898438</v>
      </c>
      <c r="AH102" s="23" t="n">
        <v>7.64826279061213</v>
      </c>
      <c r="AI102" s="23" t="n">
        <v>8.1311622226545</v>
      </c>
      <c r="AJ102" s="23" t="n">
        <v>8.25292436242912</v>
      </c>
      <c r="AK102" s="23" t="n">
        <f aca="false">IF(OR(AI102="",AJ102=""),"",AI102-AJ102)</f>
        <v>-0.121762139774617</v>
      </c>
      <c r="AL102" s="23" t="n">
        <f aca="false">IF(OR(AI102="",AJ102="",AJ102=0),"",AI102/AJ102-1)</f>
        <v>-0.0147538174866755</v>
      </c>
      <c r="AM102" s="23" t="n">
        <v>0</v>
      </c>
      <c r="AN102" s="23" t="s">
        <v>169</v>
      </c>
      <c r="AO102" s="23" t="s">
        <v>558</v>
      </c>
      <c r="AP102" s="23" t="s">
        <v>80</v>
      </c>
    </row>
    <row r="103" customFormat="false" ht="15" hidden="false" customHeight="false" outlineLevel="0" collapsed="false">
      <c r="A103" s="23" t="n">
        <v>101</v>
      </c>
      <c r="B103" s="23" t="n">
        <v>87</v>
      </c>
      <c r="C103" s="23" t="n">
        <v>103</v>
      </c>
      <c r="D103" s="23" t="s">
        <v>157</v>
      </c>
      <c r="E103" s="23" t="s">
        <v>158</v>
      </c>
      <c r="F103" s="23" t="s">
        <v>159</v>
      </c>
      <c r="G103" s="23" t="s">
        <v>465</v>
      </c>
      <c r="H103" s="23" t="s">
        <v>548</v>
      </c>
      <c r="I103" s="23" t="s">
        <v>162</v>
      </c>
      <c r="J103" s="23" t="n">
        <v>46250.502423287</v>
      </c>
      <c r="K103" s="23" t="n">
        <v>1</v>
      </c>
      <c r="L103" s="23" t="n">
        <v>3</v>
      </c>
      <c r="M103" s="23" t="n">
        <f aca="false">IF(OR(K103="",L103=""),"",K103*L103*3)</f>
        <v>9</v>
      </c>
      <c r="N103" s="23" t="s">
        <v>163</v>
      </c>
      <c r="O103" s="23" t="n">
        <v>8.887901</v>
      </c>
      <c r="P103" s="23" t="n">
        <v>7.032117</v>
      </c>
      <c r="Q103" s="23" t="n">
        <v>7.763243</v>
      </c>
      <c r="R103" s="23" t="s">
        <v>164</v>
      </c>
      <c r="S103" s="23" t="s">
        <v>74</v>
      </c>
      <c r="T103" s="23" t="s">
        <v>18</v>
      </c>
      <c r="U103" s="23" t="s">
        <v>166</v>
      </c>
      <c r="V103" s="23" t="s">
        <v>229</v>
      </c>
      <c r="W103" s="23" t="s">
        <v>466</v>
      </c>
      <c r="X103" s="23" t="n">
        <v>7.906646</v>
      </c>
      <c r="Y103" s="23" t="n">
        <f aca="false">IF(OR(Q103="",X103=""),"",Q103-X103)</f>
        <v>-0.143403</v>
      </c>
      <c r="Z103" s="23" t="n">
        <f aca="false">IF(OR(Q103="",X103="",X103=0),"",Q103/X103-1)</f>
        <v>-0.0181370204256015</v>
      </c>
      <c r="AA103" s="23" t="n">
        <v>8.27371028236659</v>
      </c>
      <c r="AB103" s="23" t="n">
        <v>6.61853903653101</v>
      </c>
      <c r="AC103" s="23" t="n">
        <v>7.6566459218858</v>
      </c>
      <c r="AD103" s="23" t="n">
        <v>7.29451607183497</v>
      </c>
      <c r="AE103" s="23" t="n">
        <f aca="false">IF(OR(AC103="",AD103=""),"",AC103-AD103)</f>
        <v>0.362129850050824</v>
      </c>
      <c r="AF103" s="23" t="n">
        <f aca="false">IF(OR(AC103="",AD103="",AD103=0),"",AC103/AD103-1)</f>
        <v>0.0496441225825868</v>
      </c>
      <c r="AG103" s="23" t="n">
        <v>9.23051006827701</v>
      </c>
      <c r="AH103" s="23" t="n">
        <v>7.2589142206244</v>
      </c>
      <c r="AI103" s="23" t="n">
        <v>7.81766196841172</v>
      </c>
      <c r="AJ103" s="23" t="n">
        <v>8.25292436242912</v>
      </c>
      <c r="AK103" s="23" t="n">
        <f aca="false">IF(OR(AI103="",AJ103=""),"",AI103-AJ103)</f>
        <v>-0.435262394017398</v>
      </c>
      <c r="AL103" s="23" t="n">
        <f aca="false">IF(OR(AI103="",AJ103="",AJ103=0),"",AI103/AJ103-1)</f>
        <v>-0.0527403832754</v>
      </c>
      <c r="AM103" s="23" t="n">
        <v>0</v>
      </c>
      <c r="AN103" s="23" t="s">
        <v>169</v>
      </c>
      <c r="AO103" s="23" t="s">
        <v>559</v>
      </c>
      <c r="AP103" s="23" t="s">
        <v>80</v>
      </c>
    </row>
    <row r="104" customFormat="false" ht="15" hidden="false" customHeight="false" outlineLevel="0" collapsed="false">
      <c r="A104" s="23" t="n">
        <v>102</v>
      </c>
      <c r="B104" s="23" t="n">
        <v>99</v>
      </c>
      <c r="C104" s="23" t="n">
        <v>101</v>
      </c>
      <c r="D104" s="23" t="s">
        <v>157</v>
      </c>
      <c r="E104" s="23" t="s">
        <v>158</v>
      </c>
      <c r="F104" s="23" t="s">
        <v>159</v>
      </c>
      <c r="G104" s="23" t="s">
        <v>299</v>
      </c>
      <c r="H104" s="23" t="s">
        <v>548</v>
      </c>
      <c r="I104" s="23" t="s">
        <v>162</v>
      </c>
      <c r="J104" s="23" t="n">
        <v>46250.4932261343</v>
      </c>
      <c r="K104" s="23" t="n">
        <v>1</v>
      </c>
      <c r="L104" s="23" t="n">
        <v>3</v>
      </c>
      <c r="M104" s="23" t="n">
        <f aca="false">IF(OR(K104="",L104=""),"",K104*L104*3)</f>
        <v>9</v>
      </c>
      <c r="N104" s="23" t="s">
        <v>163</v>
      </c>
      <c r="O104" s="23" t="n">
        <v>8.582105</v>
      </c>
      <c r="P104" s="23" t="n">
        <v>7.086262</v>
      </c>
      <c r="Q104" s="23" t="n">
        <v>7.746962</v>
      </c>
      <c r="R104" s="23" t="s">
        <v>164</v>
      </c>
      <c r="S104" s="23" t="s">
        <v>74</v>
      </c>
      <c r="T104" s="23" t="s">
        <v>18</v>
      </c>
      <c r="U104" s="23" t="s">
        <v>166</v>
      </c>
      <c r="V104" s="23" t="s">
        <v>229</v>
      </c>
      <c r="W104" s="23" t="s">
        <v>300</v>
      </c>
      <c r="X104" s="23" t="n">
        <v>7.906646</v>
      </c>
      <c r="Y104" s="23" t="n">
        <f aca="false">IF(OR(Q104="",X104=""),"",Q104-X104)</f>
        <v>-0.159684</v>
      </c>
      <c r="Z104" s="23" t="n">
        <f aca="false">IF(OR(Q104="",X104="",X104=0),"",Q104/X104-1)</f>
        <v>-0.0201961742058517</v>
      </c>
      <c r="AA104" s="23" t="n">
        <v>7.90071111954228</v>
      </c>
      <c r="AB104" s="23" t="n">
        <v>6.26494070150184</v>
      </c>
      <c r="AC104" s="23" t="n">
        <v>7.13529722352589</v>
      </c>
      <c r="AD104" s="23" t="n">
        <v>7.29451607183497</v>
      </c>
      <c r="AE104" s="23" t="n">
        <f aca="false">IF(OR(AC104="",AD104=""),"",AC104-AD104)</f>
        <v>-0.159218848309078</v>
      </c>
      <c r="AF104" s="23" t="n">
        <f aca="false">IF(OR(AC104="",AD104="",AD104=0),"",AC104/AD104-1)</f>
        <v>-0.02182719823236</v>
      </c>
      <c r="AG104" s="23" t="n">
        <v>8.9688634679826</v>
      </c>
      <c r="AH104" s="23" t="n">
        <v>7.58334297380874</v>
      </c>
      <c r="AI104" s="23" t="n">
        <v>8.0938813449396</v>
      </c>
      <c r="AJ104" s="23" t="n">
        <v>8.25292436242912</v>
      </c>
      <c r="AK104" s="23" t="n">
        <f aca="false">IF(OR(AI104="",AJ104=""),"",AI104-AJ104)</f>
        <v>-0.159043017489518</v>
      </c>
      <c r="AL104" s="23" t="n">
        <f aca="false">IF(OR(AI104="",AJ104="",AJ104=0),"",AI104/AJ104-1)</f>
        <v>-0.0192711105185394</v>
      </c>
      <c r="AM104" s="23" t="n">
        <v>0</v>
      </c>
      <c r="AN104" s="23" t="s">
        <v>169</v>
      </c>
      <c r="AO104" s="23" t="s">
        <v>560</v>
      </c>
      <c r="AP104" s="23" t="s">
        <v>80</v>
      </c>
    </row>
    <row r="105" customFormat="false" ht="15" hidden="false" customHeight="false" outlineLevel="0" collapsed="false">
      <c r="A105" s="23" t="n">
        <v>103</v>
      </c>
      <c r="B105" s="23" t="n">
        <v>100</v>
      </c>
      <c r="C105" s="23" t="n">
        <v>102</v>
      </c>
      <c r="D105" s="23" t="s">
        <v>157</v>
      </c>
      <c r="E105" s="23" t="s">
        <v>158</v>
      </c>
      <c r="F105" s="23" t="s">
        <v>159</v>
      </c>
      <c r="G105" s="23" t="s">
        <v>209</v>
      </c>
      <c r="H105" s="23" t="s">
        <v>548</v>
      </c>
      <c r="I105" s="23" t="s">
        <v>162</v>
      </c>
      <c r="J105" s="23" t="n">
        <v>46250.5571542593</v>
      </c>
      <c r="K105" s="23" t="n">
        <v>1</v>
      </c>
      <c r="L105" s="23" t="n">
        <v>3</v>
      </c>
      <c r="M105" s="23" t="n">
        <f aca="false">IF(OR(K105="",L105=""),"",K105*L105*3)</f>
        <v>9</v>
      </c>
      <c r="N105" s="23" t="s">
        <v>163</v>
      </c>
      <c r="O105" s="23" t="n">
        <v>8.772038</v>
      </c>
      <c r="P105" s="23" t="n">
        <v>7.406743</v>
      </c>
      <c r="Q105" s="23" t="n">
        <v>7.704848</v>
      </c>
      <c r="R105" s="23" t="s">
        <v>164</v>
      </c>
      <c r="S105" s="23" t="s">
        <v>210</v>
      </c>
      <c r="T105" s="23" t="s">
        <v>18</v>
      </c>
      <c r="U105" s="23" t="s">
        <v>166</v>
      </c>
      <c r="V105" s="23" t="s">
        <v>211</v>
      </c>
      <c r="W105" s="23" t="s">
        <v>212</v>
      </c>
      <c r="X105" s="23" t="n">
        <v>7.906646</v>
      </c>
      <c r="Y105" s="23" t="n">
        <f aca="false">IF(OR(Q105="",X105=""),"",Q105-X105)</f>
        <v>-0.201798</v>
      </c>
      <c r="Z105" s="23" t="n">
        <f aca="false">IF(OR(Q105="",X105="",X105=0),"",Q105/X105-1)</f>
        <v>-0.0255225793591872</v>
      </c>
      <c r="AA105" s="23" t="n">
        <v>8.31295423086261</v>
      </c>
      <c r="AB105" s="23" t="n">
        <v>6.85958601364481</v>
      </c>
      <c r="AC105" s="23" t="n">
        <v>7.09069709718766</v>
      </c>
      <c r="AD105" s="23" t="n">
        <v>7.29451607183497</v>
      </c>
      <c r="AE105" s="23" t="n">
        <f aca="false">IF(OR(AC105="",AD105=""),"",AC105-AD105)</f>
        <v>-0.203818974647313</v>
      </c>
      <c r="AF105" s="23" t="n">
        <f aca="false">IF(OR(AC105="",AD105="",AD105=0),"",AC105/AD105-1)</f>
        <v>-0.0279413977075578</v>
      </c>
      <c r="AG105" s="23" t="n">
        <v>9.02113468097404</v>
      </c>
      <c r="AH105" s="23" t="n">
        <v>7.7144141576294</v>
      </c>
      <c r="AI105" s="23" t="n">
        <v>8.05362460236977</v>
      </c>
      <c r="AJ105" s="23" t="n">
        <v>8.25292436242912</v>
      </c>
      <c r="AK105" s="23" t="n">
        <f aca="false">IF(OR(AI105="",AJ105=""),"",AI105-AJ105)</f>
        <v>-0.19929976005935</v>
      </c>
      <c r="AL105" s="23" t="n">
        <f aca="false">IF(OR(AI105="",AJ105="",AJ105=0),"",AI105/AJ105-1)</f>
        <v>-0.0241489866266859</v>
      </c>
      <c r="AM105" s="23" t="n">
        <v>0</v>
      </c>
      <c r="AN105" s="23" t="s">
        <v>169</v>
      </c>
      <c r="AO105" s="23" t="s">
        <v>561</v>
      </c>
      <c r="AP105" s="23" t="s">
        <v>80</v>
      </c>
    </row>
    <row r="106" customFormat="false" ht="15" hidden="false" customHeight="false" outlineLevel="0" collapsed="false">
      <c r="A106" s="23" t="n">
        <v>104</v>
      </c>
      <c r="B106" s="23" t="n">
        <v>105</v>
      </c>
      <c r="C106" s="23" t="n">
        <v>104</v>
      </c>
      <c r="D106" s="23" t="s">
        <v>157</v>
      </c>
      <c r="E106" s="23" t="s">
        <v>158</v>
      </c>
      <c r="F106" s="23" t="s">
        <v>159</v>
      </c>
      <c r="G106" s="23" t="s">
        <v>346</v>
      </c>
      <c r="H106" s="23" t="s">
        <v>548</v>
      </c>
      <c r="I106" s="23" t="s">
        <v>162</v>
      </c>
      <c r="J106" s="23" t="n">
        <v>46250.6026945949</v>
      </c>
      <c r="K106" s="23" t="n">
        <v>1</v>
      </c>
      <c r="L106" s="23" t="n">
        <v>3</v>
      </c>
      <c r="M106" s="23" t="n">
        <f aca="false">IF(OR(K106="",L106=""),"",K106*L106*3)</f>
        <v>9</v>
      </c>
      <c r="N106" s="23" t="s">
        <v>163</v>
      </c>
      <c r="O106" s="23" t="n">
        <v>9.073803</v>
      </c>
      <c r="P106" s="23" t="n">
        <v>7.154929</v>
      </c>
      <c r="Q106" s="23" t="n">
        <v>7.333787</v>
      </c>
      <c r="R106" s="23" t="s">
        <v>164</v>
      </c>
      <c r="S106" s="23" t="s">
        <v>347</v>
      </c>
      <c r="T106" s="23" t="s">
        <v>18</v>
      </c>
      <c r="U106" s="23" t="s">
        <v>166</v>
      </c>
      <c r="V106" s="23" t="s">
        <v>348</v>
      </c>
      <c r="W106" s="23" t="s">
        <v>349</v>
      </c>
      <c r="X106" s="23" t="n">
        <v>7.906646</v>
      </c>
      <c r="Y106" s="23" t="n">
        <f aca="false">IF(OR(Q106="",X106=""),"",Q106-X106)</f>
        <v>-0.572859</v>
      </c>
      <c r="Z106" s="23" t="n">
        <f aca="false">IF(OR(Q106="",X106="",X106=0),"",Q106/X106-1)</f>
        <v>-0.0724528453657847</v>
      </c>
      <c r="AA106" s="23" t="n">
        <v>8.46247907897184</v>
      </c>
      <c r="AB106" s="23" t="n">
        <v>7.20001943936232</v>
      </c>
      <c r="AC106" s="23" t="n">
        <v>6.75420565887228</v>
      </c>
      <c r="AD106" s="23" t="n">
        <v>7.29451607183497</v>
      </c>
      <c r="AE106" s="23" t="n">
        <f aca="false">IF(OR(AC106="",AD106=""),"",AC106-AD106)</f>
        <v>-0.540310412962697</v>
      </c>
      <c r="AF106" s="23" t="n">
        <f aca="false">IF(OR(AC106="",AD106="",AD106=0),"",AC106/AD106-1)</f>
        <v>-0.0740707687311708</v>
      </c>
      <c r="AG106" s="23" t="n">
        <v>9.41382747755791</v>
      </c>
      <c r="AH106" s="23" t="n">
        <v>7.13259442842776</v>
      </c>
      <c r="AI106" s="23" t="n">
        <v>7.66255004805577</v>
      </c>
      <c r="AJ106" s="23" t="n">
        <v>8.25292436242912</v>
      </c>
      <c r="AK106" s="23" t="n">
        <f aca="false">IF(OR(AI106="",AJ106=""),"",AI106-AJ106)</f>
        <v>-0.590374314373344</v>
      </c>
      <c r="AL106" s="23" t="n">
        <f aca="false">IF(OR(AI106="",AJ106="",AJ106=0),"",AI106/AJ106-1)</f>
        <v>-0.0715351660147261</v>
      </c>
      <c r="AM106" s="23" t="n">
        <v>0</v>
      </c>
      <c r="AN106" s="23" t="s">
        <v>169</v>
      </c>
      <c r="AO106" s="23" t="s">
        <v>562</v>
      </c>
      <c r="AP106" s="23" t="s">
        <v>80</v>
      </c>
    </row>
    <row r="107" customFormat="false" ht="15" hidden="false" customHeight="false" outlineLevel="0" collapsed="false">
      <c r="A107" s="23" t="n">
        <v>105</v>
      </c>
      <c r="B107" s="23" t="n">
        <v>90</v>
      </c>
      <c r="C107" s="23" t="n">
        <v>106</v>
      </c>
      <c r="D107" s="23" t="s">
        <v>157</v>
      </c>
      <c r="E107" s="23" t="s">
        <v>158</v>
      </c>
      <c r="F107" s="23" t="s">
        <v>159</v>
      </c>
      <c r="G107" s="23" t="s">
        <v>312</v>
      </c>
      <c r="H107" s="23" t="s">
        <v>548</v>
      </c>
      <c r="I107" s="23" t="s">
        <v>162</v>
      </c>
      <c r="J107" s="23" t="n">
        <v>46250.538908831</v>
      </c>
      <c r="K107" s="23" t="n">
        <v>1</v>
      </c>
      <c r="L107" s="23" t="n">
        <v>3</v>
      </c>
      <c r="M107" s="23" t="n">
        <f aca="false">IF(OR(K107="",L107=""),"",K107*L107*3)</f>
        <v>9</v>
      </c>
      <c r="N107" s="23" t="s">
        <v>163</v>
      </c>
      <c r="O107" s="23" t="n">
        <v>8.899378</v>
      </c>
      <c r="P107" s="23" t="n">
        <v>7.445247</v>
      </c>
      <c r="Q107" s="23" t="n">
        <v>7.223648</v>
      </c>
      <c r="R107" s="23" t="s">
        <v>164</v>
      </c>
      <c r="S107" s="23" t="s">
        <v>94</v>
      </c>
      <c r="T107" s="23" t="s">
        <v>18</v>
      </c>
      <c r="U107" s="23" t="s">
        <v>166</v>
      </c>
      <c r="V107" s="23" t="s">
        <v>236</v>
      </c>
      <c r="W107" s="23" t="s">
        <v>313</v>
      </c>
      <c r="X107" s="23" t="n">
        <v>7.906646</v>
      </c>
      <c r="Y107" s="23" t="n">
        <f aca="false">IF(OR(Q107="",X107=""),"",Q107-X107)</f>
        <v>-0.682998</v>
      </c>
      <c r="Z107" s="23" t="n">
        <f aca="false">IF(OR(Q107="",X107="",X107=0),"",Q107/X107-1)</f>
        <v>-0.0863827721640756</v>
      </c>
      <c r="AA107" s="23" t="n">
        <v>8.32512687507587</v>
      </c>
      <c r="AB107" s="23" t="n">
        <v>6.83756974045892</v>
      </c>
      <c r="AC107" s="23" t="n">
        <v>7.41495762597836</v>
      </c>
      <c r="AD107" s="23" t="n">
        <v>7.29451607183497</v>
      </c>
      <c r="AE107" s="23" t="n">
        <f aca="false">IF(OR(AC107="",AD107=""),"",AC107-AD107)</f>
        <v>0.120441554143388</v>
      </c>
      <c r="AF107" s="23" t="n">
        <f aca="false">IF(OR(AC107="",AD107="",AD107=0),"",AC107/AD107-1)</f>
        <v>0.0165112466621915</v>
      </c>
      <c r="AG107" s="23" t="n">
        <v>9.21727314796217</v>
      </c>
      <c r="AH107" s="23" t="n">
        <v>7.79147406877457</v>
      </c>
      <c r="AI107" s="23" t="n">
        <v>7.13164806418698</v>
      </c>
      <c r="AJ107" s="23" t="n">
        <v>8.25292436242912</v>
      </c>
      <c r="AK107" s="23" t="n">
        <f aca="false">IF(OR(AI107="",AJ107=""),"",AI107-AJ107)</f>
        <v>-1.12127629824213</v>
      </c>
      <c r="AL107" s="23" t="n">
        <f aca="false">IF(OR(AI107="",AJ107="",AJ107=0),"",AI107/AJ107-1)</f>
        <v>-0.135864119068711</v>
      </c>
      <c r="AM107" s="23" t="n">
        <v>0</v>
      </c>
      <c r="AN107" s="23" t="s">
        <v>169</v>
      </c>
      <c r="AO107" s="23" t="s">
        <v>563</v>
      </c>
      <c r="AP107" s="23" t="s">
        <v>80</v>
      </c>
    </row>
    <row r="108" customFormat="false" ht="15" hidden="false" customHeight="false" outlineLevel="0" collapsed="false">
      <c r="A108" s="23" t="n">
        <v>106</v>
      </c>
      <c r="B108" s="23" t="n">
        <v>101</v>
      </c>
      <c r="C108" s="23" t="n">
        <v>105</v>
      </c>
      <c r="D108" s="23" t="s">
        <v>157</v>
      </c>
      <c r="E108" s="23" t="s">
        <v>171</v>
      </c>
      <c r="F108" s="23" t="s">
        <v>172</v>
      </c>
      <c r="G108" s="23" t="s">
        <v>564</v>
      </c>
      <c r="H108" s="23" t="s">
        <v>174</v>
      </c>
      <c r="I108" s="23" t="s">
        <v>175</v>
      </c>
      <c r="J108" s="23" t="n">
        <v>46249.8592623958</v>
      </c>
      <c r="K108" s="23" t="n">
        <v>1</v>
      </c>
      <c r="L108" s="23" t="n">
        <v>3</v>
      </c>
      <c r="M108" s="23" t="n">
        <f aca="false">IF(OR(K108="",L108=""),"",K108*L108*3)</f>
        <v>9</v>
      </c>
      <c r="N108" s="23" t="s">
        <v>176</v>
      </c>
      <c r="O108" s="23" t="n">
        <v>9.190605</v>
      </c>
      <c r="P108" s="23" t="n">
        <v>8.425551</v>
      </c>
      <c r="Q108" s="23" t="n">
        <v>7.145954</v>
      </c>
      <c r="R108" s="23" t="s">
        <v>164</v>
      </c>
      <c r="S108" s="23" t="s">
        <v>565</v>
      </c>
      <c r="T108" s="23" t="s">
        <v>18</v>
      </c>
      <c r="U108" s="23" t="s">
        <v>178</v>
      </c>
      <c r="V108" s="23" t="s">
        <v>566</v>
      </c>
      <c r="W108" s="23" t="s">
        <v>567</v>
      </c>
      <c r="X108" s="23" t="n">
        <v>9.874782</v>
      </c>
      <c r="Y108" s="23" t="n">
        <f aca="false">IF(OR(Q108="",X108=""),"",Q108-X108)</f>
        <v>-2.728828</v>
      </c>
      <c r="Z108" s="23" t="n">
        <f aca="false">IF(OR(Q108="",X108="",X108=0),"",Q108/X108-1)</f>
        <v>-0.276343113194803</v>
      </c>
      <c r="AA108" s="23" t="n">
        <v>8.556745</v>
      </c>
      <c r="AB108" s="23" t="n">
        <v>7.582747</v>
      </c>
      <c r="AC108" s="23" t="n">
        <v>7.069357</v>
      </c>
      <c r="AD108" s="23" t="n">
        <v>8.895737</v>
      </c>
      <c r="AE108" s="23" t="n">
        <f aca="false">IF(OR(AC108="",AD108=""),"",AC108-AD108)</f>
        <v>-1.82638</v>
      </c>
      <c r="AF108" s="23" t="n">
        <f aca="false">IF(OR(AC108="",AD108="",AD108=0),"",AC108/AD108-1)</f>
        <v>-0.205309576935559</v>
      </c>
      <c r="AG108" s="23" t="n">
        <v>9.544106</v>
      </c>
      <c r="AH108" s="23" t="n">
        <v>8.921344</v>
      </c>
      <c r="AI108" s="23" t="n">
        <v>7.184877</v>
      </c>
      <c r="AJ108" s="23" t="n">
        <v>10.449825</v>
      </c>
      <c r="AK108" s="23" t="n">
        <f aca="false">IF(OR(AI108="",AJ108=""),"",AI108-AJ108)</f>
        <v>-3.264948</v>
      </c>
      <c r="AL108" s="23" t="n">
        <f aca="false">IF(OR(AI108="",AJ108="",AJ108=0),"",AI108/AJ108-1)</f>
        <v>-0.312440447567304</v>
      </c>
      <c r="AM108" s="23" t="n">
        <v>0</v>
      </c>
      <c r="AN108" s="23"/>
      <c r="AO108" s="23" t="s">
        <v>568</v>
      </c>
      <c r="AP108" s="23" t="s">
        <v>183</v>
      </c>
    </row>
    <row r="109" customFormat="false" ht="15" hidden="false" customHeight="false" outlineLevel="0" collapsed="false">
      <c r="A109" s="23"/>
      <c r="B109" s="23"/>
      <c r="C109" s="23"/>
      <c r="D109" s="23" t="s">
        <v>569</v>
      </c>
      <c r="E109" s="23" t="s">
        <v>171</v>
      </c>
      <c r="F109" s="23" t="s">
        <v>172</v>
      </c>
      <c r="G109" s="23" t="s">
        <v>570</v>
      </c>
      <c r="H109" s="23" t="s">
        <v>174</v>
      </c>
      <c r="I109" s="23" t="s">
        <v>175</v>
      </c>
      <c r="J109" s="23" t="n">
        <v>46249.8571266088</v>
      </c>
      <c r="K109" s="23" t="n">
        <v>1</v>
      </c>
      <c r="L109" s="23" t="n">
        <v>3</v>
      </c>
      <c r="M109" s="23" t="n">
        <f aca="false">IF(OR(K109="",L109=""),"",K109*L109*3)</f>
        <v>9</v>
      </c>
      <c r="N109" s="23" t="s">
        <v>176</v>
      </c>
      <c r="O109" s="23"/>
      <c r="P109" s="23" t="n">
        <v>8.757616</v>
      </c>
      <c r="Q109" s="23" t="n">
        <v>9.906341</v>
      </c>
      <c r="R109" s="23" t="s">
        <v>164</v>
      </c>
      <c r="S109" s="23" t="s">
        <v>203</v>
      </c>
      <c r="T109" s="23" t="s">
        <v>18</v>
      </c>
      <c r="U109" s="23" t="s">
        <v>178</v>
      </c>
      <c r="V109" s="23" t="s">
        <v>204</v>
      </c>
      <c r="W109" s="23" t="s">
        <v>571</v>
      </c>
      <c r="X109" s="23" t="n">
        <v>9.874782</v>
      </c>
      <c r="Y109" s="23" t="n">
        <f aca="false">IF(OR(Q109="",X109=""),"",Q109-X109)</f>
        <v>0.0315589999999997</v>
      </c>
      <c r="Z109" s="23" t="n">
        <f aca="false">IF(OR(Q109="",X109="",X109=0),"",Q109/X109-1)</f>
        <v>0.0031959186542041</v>
      </c>
      <c r="AA109" s="23"/>
      <c r="AB109" s="23" t="n">
        <v>7.928398</v>
      </c>
      <c r="AC109" s="23" t="n">
        <v>8.899938</v>
      </c>
      <c r="AD109" s="23" t="n">
        <v>8.895737</v>
      </c>
      <c r="AE109" s="23" t="n">
        <f aca="false">IF(OR(AC109="",AD109=""),"",AC109-AD109)</f>
        <v>0.00420100000000012</v>
      </c>
      <c r="AF109" s="23" t="n">
        <f aca="false">IF(OR(AC109="",AD109="",AD109=0),"",AC109/AD109-1)</f>
        <v>0.000472248673718756</v>
      </c>
      <c r="AG109" s="23"/>
      <c r="AH109" s="23" t="n">
        <v>9.24086</v>
      </c>
      <c r="AI109" s="23" t="n">
        <v>10.500011</v>
      </c>
      <c r="AJ109" s="23" t="n">
        <v>10.449825</v>
      </c>
      <c r="AK109" s="23" t="n">
        <f aca="false">IF(OR(AI109="",AJ109=""),"",AI109-AJ109)</f>
        <v>0.0501860000000001</v>
      </c>
      <c r="AL109" s="23" t="n">
        <f aca="false">IF(OR(AI109="",AJ109="",AJ109=0),"",AI109/AJ109-1)</f>
        <v>0.00480256846406513</v>
      </c>
      <c r="AM109" s="23" t="n">
        <v>255</v>
      </c>
      <c r="AN109" s="23" t="s">
        <v>572</v>
      </c>
      <c r="AO109" s="23" t="s">
        <v>573</v>
      </c>
      <c r="AP109" s="23" t="s">
        <v>183</v>
      </c>
    </row>
    <row r="110" customFormat="false" ht="15" hidden="false" customHeight="false" outlineLevel="0" collapsed="false">
      <c r="A110" s="23"/>
      <c r="B110" s="23"/>
      <c r="C110" s="23"/>
      <c r="D110" s="23" t="s">
        <v>569</v>
      </c>
      <c r="E110" s="23" t="s">
        <v>403</v>
      </c>
      <c r="F110" s="23" t="s">
        <v>404</v>
      </c>
      <c r="G110" s="23" t="s">
        <v>574</v>
      </c>
      <c r="H110" s="23" t="s">
        <v>174</v>
      </c>
      <c r="I110" s="23" t="s">
        <v>575</v>
      </c>
      <c r="J110" s="23"/>
      <c r="K110" s="23" t="n">
        <v>1</v>
      </c>
      <c r="L110" s="23" t="n">
        <v>3</v>
      </c>
      <c r="M110" s="23" t="n">
        <f aca="false">IF(OR(K110="",L110=""),"",K110*L110*3)</f>
        <v>9</v>
      </c>
      <c r="N110" s="23" t="s">
        <v>405</v>
      </c>
      <c r="O110" s="23"/>
      <c r="P110" s="23"/>
      <c r="Q110" s="23"/>
      <c r="R110" s="23" t="s">
        <v>164</v>
      </c>
      <c r="S110" s="23" t="s">
        <v>544</v>
      </c>
      <c r="T110" s="23" t="s">
        <v>18</v>
      </c>
      <c r="U110" s="23" t="s">
        <v>280</v>
      </c>
      <c r="V110" s="23" t="s">
        <v>545</v>
      </c>
      <c r="W110" s="23" t="s">
        <v>546</v>
      </c>
      <c r="X110" s="23" t="n">
        <v>9.314892</v>
      </c>
      <c r="Y110" s="23" t="str">
        <f aca="false">IF(OR(Q110="",X110=""),"",Q110-X110)</f>
        <v/>
      </c>
      <c r="Z110" s="23" t="str">
        <f aca="false">IF(OR(Q110="",X110="",X110=0),"",Q110/X110-1)</f>
        <v/>
      </c>
      <c r="AA110" s="23"/>
      <c r="AB110" s="23"/>
      <c r="AC110" s="23"/>
      <c r="AD110" s="23" t="n">
        <v>8.65305974446837</v>
      </c>
      <c r="AE110" s="23" t="str">
        <f aca="false">IF(OR(AC110="",AD110=""),"",AC110-AD110)</f>
        <v/>
      </c>
      <c r="AF110" s="23" t="str">
        <f aca="false">IF(OR(AC110="",AD110="",AD110=0),"",AC110/AD110-1)</f>
        <v/>
      </c>
      <c r="AG110" s="23"/>
      <c r="AH110" s="23"/>
      <c r="AI110" s="23"/>
      <c r="AJ110" s="23" t="n">
        <v>9.68528390606302</v>
      </c>
      <c r="AK110" s="23" t="str">
        <f aca="false">IF(OR(AI110="",AJ110=""),"",AI110-AJ110)</f>
        <v/>
      </c>
      <c r="AL110" s="23" t="str">
        <f aca="false">IF(OR(AI110="",AJ110="",AJ110=0),"",AI110/AJ110-1)</f>
        <v/>
      </c>
      <c r="AM110" s="23" t="n">
        <v>20</v>
      </c>
      <c r="AN110" s="23" t="s">
        <v>576</v>
      </c>
      <c r="AO110" s="23" t="s">
        <v>577</v>
      </c>
      <c r="AP110" s="23" t="s">
        <v>284</v>
      </c>
    </row>
    <row r="111" customFormat="false" ht="15" hidden="false" customHeight="false" outlineLevel="0" collapsed="false">
      <c r="A111" s="23"/>
      <c r="B111" s="23"/>
      <c r="C111" s="23"/>
      <c r="D111" s="23" t="s">
        <v>569</v>
      </c>
      <c r="E111" s="23" t="s">
        <v>403</v>
      </c>
      <c r="F111" s="23" t="s">
        <v>404</v>
      </c>
      <c r="G111" s="23" t="s">
        <v>578</v>
      </c>
      <c r="H111" s="23" t="s">
        <v>174</v>
      </c>
      <c r="I111" s="23" t="s">
        <v>575</v>
      </c>
      <c r="J111" s="23"/>
      <c r="K111" s="23" t="n">
        <v>1</v>
      </c>
      <c r="L111" s="23" t="n">
        <v>3</v>
      </c>
      <c r="M111" s="23" t="n">
        <f aca="false">IF(OR(K111="",L111=""),"",K111*L111*3)</f>
        <v>9</v>
      </c>
      <c r="N111" s="23" t="s">
        <v>405</v>
      </c>
      <c r="O111" s="23"/>
      <c r="P111" s="23"/>
      <c r="Q111" s="23"/>
      <c r="R111" s="23" t="s">
        <v>164</v>
      </c>
      <c r="S111" s="23" t="s">
        <v>531</v>
      </c>
      <c r="T111" s="23" t="s">
        <v>18</v>
      </c>
      <c r="U111" s="23" t="s">
        <v>280</v>
      </c>
      <c r="V111" s="23" t="s">
        <v>532</v>
      </c>
      <c r="W111" s="23" t="s">
        <v>533</v>
      </c>
      <c r="X111" s="23" t="n">
        <v>9.314892</v>
      </c>
      <c r="Y111" s="23" t="str">
        <f aca="false">IF(OR(Q111="",X111=""),"",Q111-X111)</f>
        <v/>
      </c>
      <c r="Z111" s="23" t="str">
        <f aca="false">IF(OR(Q111="",X111="",X111=0),"",Q111/X111-1)</f>
        <v/>
      </c>
      <c r="AA111" s="23"/>
      <c r="AB111" s="23"/>
      <c r="AC111" s="23"/>
      <c r="AD111" s="23" t="n">
        <v>8.65305974446837</v>
      </c>
      <c r="AE111" s="23" t="str">
        <f aca="false">IF(OR(AC111="",AD111=""),"",AC111-AD111)</f>
        <v/>
      </c>
      <c r="AF111" s="23" t="str">
        <f aca="false">IF(OR(AC111="",AD111="",AD111=0),"",AC111/AD111-1)</f>
        <v/>
      </c>
      <c r="AG111" s="23"/>
      <c r="AH111" s="23"/>
      <c r="AI111" s="23"/>
      <c r="AJ111" s="23" t="n">
        <v>9.68528390606302</v>
      </c>
      <c r="AK111" s="23" t="str">
        <f aca="false">IF(OR(AI111="",AJ111=""),"",AI111-AJ111)</f>
        <v/>
      </c>
      <c r="AL111" s="23" t="str">
        <f aca="false">IF(OR(AI111="",AJ111="",AJ111=0),"",AI111/AJ111-1)</f>
        <v/>
      </c>
      <c r="AM111" s="23" t="n">
        <v>20</v>
      </c>
      <c r="AN111" s="23" t="s">
        <v>576</v>
      </c>
      <c r="AO111" s="23" t="s">
        <v>577</v>
      </c>
      <c r="AP111" s="23" t="s">
        <v>284</v>
      </c>
    </row>
  </sheetData>
  <mergeCells count="8">
    <mergeCell ref="A1:J1"/>
    <mergeCell ref="K1:M1"/>
    <mergeCell ref="N1:O1"/>
    <mergeCell ref="P1:T1"/>
    <mergeCell ref="U1:Z1"/>
    <mergeCell ref="AA1:AF1"/>
    <mergeCell ref="AG1:AL1"/>
    <mergeCell ref="AM1:AP1"/>
  </mergeCells>
  <conditionalFormatting sqref="Q3:Q111">
    <cfRule type="colorScale" priority="2">
      <colorScale>
        <cfvo type="min" val="0"/>
        <cfvo type="percentile" val="50"/>
        <cfvo type="max" val="0"/>
        <color rgb="FFFDECEC"/>
        <color rgb="FFFFF4CC"/>
        <color rgb="FFDDF4E5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2026-08-20T12:33:45Z</dcterms:created>
  <dc:creator/>
  <dc:description/>
  <dc:language>de-DE</dc:language>
  <cp:lastModifiedBy/>
  <dcterms:modified xsi:type="dcterms:W3CDTF">2026-08-20T16:22:14Z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